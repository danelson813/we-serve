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annelson/Desktop/we-serve/data/"/>
    </mc:Choice>
  </mc:AlternateContent>
  <xr:revisionPtr revIDLastSave="0" documentId="13_ncr:1_{251D1B41-FD69-9745-9C7C-FBCB52C655F6}" xr6:coauthVersionLast="47" xr6:coauthVersionMax="47" xr10:uidLastSave="{00000000-0000-0000-0000-000000000000}"/>
  <bookViews>
    <workbookView xWindow="0" yWindow="0" windowWidth="38400" windowHeight="21600" xr2:uid="{12D4E2DB-DEA5-B84E-B2FE-C0BF57745FA8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G38" i="1"/>
  <c r="F38" i="1"/>
  <c r="D2" i="1"/>
  <c r="D3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5" i="1"/>
  <c r="C4" i="1"/>
  <c r="C3" i="1"/>
  <c r="C2" i="1"/>
  <c r="C38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  <c r="D38" i="1" l="1"/>
</calcChain>
</file>

<file path=xl/sharedStrings.xml><?xml version="1.0" encoding="utf-8"?>
<sst xmlns="http://schemas.openxmlformats.org/spreadsheetml/2006/main" count="7" uniqueCount="7">
  <si>
    <t>BUDGET_LINE</t>
  </si>
  <si>
    <t>BUDGET</t>
  </si>
  <si>
    <t>INCOME</t>
  </si>
  <si>
    <t>EXPENSE</t>
  </si>
  <si>
    <t>White Canes</t>
  </si>
  <si>
    <t>Budget. Income</t>
  </si>
  <si>
    <t>Budget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</si>
</sst>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nnelson/Desktop/we-serve/data/final_report.xlsx" TargetMode="External"/><Relationship Id="rId1" Type="http://schemas.openxmlformats.org/officeDocument/2006/relationships/externalLinkPath" Target="final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"/>
    </sheetNames>
    <sheetDataSet>
      <sheetData sheetId="0">
        <row r="2">
          <cell r="A2">
            <v>10</v>
          </cell>
          <cell r="B2" t="str">
            <v>AmbassadorChristmas</v>
          </cell>
          <cell r="C2">
            <v>0</v>
          </cell>
        </row>
        <row r="3">
          <cell r="A3">
            <v>15</v>
          </cell>
          <cell r="B3" t="str">
            <v>AmbassadorChristmas_inc</v>
          </cell>
          <cell r="C3">
            <v>3000</v>
          </cell>
        </row>
        <row r="4">
          <cell r="A4">
            <v>20</v>
          </cell>
          <cell r="B4" t="str">
            <v>AmbassadorOctoberfest</v>
          </cell>
          <cell r="C4">
            <v>0</v>
          </cell>
        </row>
        <row r="5">
          <cell r="A5">
            <v>25</v>
          </cell>
          <cell r="B5" t="str">
            <v>AmbassadorOctoberfest_inc</v>
          </cell>
          <cell r="C5">
            <v>5400</v>
          </cell>
        </row>
        <row r="6">
          <cell r="A6">
            <v>30</v>
          </cell>
          <cell r="B6" t="str">
            <v>AmbassadorSummer</v>
          </cell>
          <cell r="C6">
            <v>1328</v>
          </cell>
        </row>
        <row r="7">
          <cell r="A7">
            <v>35</v>
          </cell>
          <cell r="B7" t="str">
            <v>AmbassadorSummer_inc</v>
          </cell>
          <cell r="C7">
            <v>2665</v>
          </cell>
        </row>
        <row r="8">
          <cell r="A8">
            <v>40</v>
          </cell>
          <cell r="B8" t="str">
            <v>BackPackProgram</v>
          </cell>
          <cell r="C8">
            <v>1500</v>
          </cell>
        </row>
        <row r="9">
          <cell r="A9">
            <v>45</v>
          </cell>
          <cell r="B9" t="str">
            <v>BackPackProgram_inc</v>
          </cell>
          <cell r="C9">
            <v>0</v>
          </cell>
        </row>
        <row r="10">
          <cell r="A10">
            <v>50</v>
          </cell>
          <cell r="B10" t="str">
            <v>BoyScouts</v>
          </cell>
          <cell r="C10">
            <v>0</v>
          </cell>
        </row>
        <row r="11">
          <cell r="A11">
            <v>55</v>
          </cell>
          <cell r="B11" t="str">
            <v>BoyScouts_inc</v>
          </cell>
          <cell r="C11">
            <v>0</v>
          </cell>
        </row>
        <row r="12">
          <cell r="A12">
            <v>60</v>
          </cell>
          <cell r="B12" t="str">
            <v>Breakfast Jul-Sept 2024</v>
          </cell>
          <cell r="C12">
            <v>1341.57</v>
          </cell>
        </row>
        <row r="13">
          <cell r="A13">
            <v>65</v>
          </cell>
          <cell r="B13" t="str">
            <v>Breakfast Jul-Sept 2025_inc</v>
          </cell>
          <cell r="C13">
            <v>9050.380000000001</v>
          </cell>
        </row>
        <row r="14">
          <cell r="A14">
            <v>70</v>
          </cell>
          <cell r="B14" t="str">
            <v>Breakfast May-June 2025</v>
          </cell>
          <cell r="C14">
            <v>126.94</v>
          </cell>
        </row>
        <row r="15">
          <cell r="A15">
            <v>75</v>
          </cell>
          <cell r="B15" t="str">
            <v>Breakfast May-June 2026_inc</v>
          </cell>
          <cell r="C15">
            <v>0</v>
          </cell>
        </row>
        <row r="16">
          <cell r="A16">
            <v>80</v>
          </cell>
          <cell r="B16" t="str">
            <v>Building Rental</v>
          </cell>
          <cell r="C16">
            <v>0</v>
          </cell>
        </row>
        <row r="17">
          <cell r="A17">
            <v>85</v>
          </cell>
          <cell r="B17" t="str">
            <v>Building Rental_inc</v>
          </cell>
          <cell r="C17">
            <v>59.88</v>
          </cell>
        </row>
        <row r="18">
          <cell r="A18">
            <v>90</v>
          </cell>
          <cell r="B18" t="str">
            <v>CampStix</v>
          </cell>
          <cell r="C18">
            <v>1500</v>
          </cell>
        </row>
        <row r="19">
          <cell r="A19">
            <v>95</v>
          </cell>
          <cell r="B19" t="str">
            <v>CampStix_inc</v>
          </cell>
          <cell r="C19">
            <v>0</v>
          </cell>
        </row>
        <row r="20">
          <cell r="A20">
            <v>100</v>
          </cell>
          <cell r="B20" t="str">
            <v>CancerHouse</v>
          </cell>
          <cell r="C20">
            <v>0</v>
          </cell>
        </row>
        <row r="21">
          <cell r="A21">
            <v>105</v>
          </cell>
          <cell r="B21" t="str">
            <v>CancerHouse_inc</v>
          </cell>
          <cell r="C21">
            <v>0</v>
          </cell>
        </row>
        <row r="22">
          <cell r="A22">
            <v>110</v>
          </cell>
          <cell r="B22" t="str">
            <v>CAREMD19</v>
          </cell>
          <cell r="C22">
            <v>500</v>
          </cell>
        </row>
        <row r="23">
          <cell r="A23">
            <v>115</v>
          </cell>
          <cell r="B23" t="str">
            <v>CAREMD19_inc</v>
          </cell>
          <cell r="C23">
            <v>0</v>
          </cell>
        </row>
        <row r="24">
          <cell r="A24">
            <v>120</v>
          </cell>
          <cell r="B24" t="str">
            <v>CasscadeMedicalFoundation</v>
          </cell>
          <cell r="C24">
            <v>1850</v>
          </cell>
        </row>
        <row r="25">
          <cell r="A25">
            <v>125</v>
          </cell>
          <cell r="B25" t="str">
            <v>CascadeMedicalFoundation_inc</v>
          </cell>
          <cell r="C25">
            <v>0</v>
          </cell>
        </row>
        <row r="26">
          <cell r="A26">
            <v>130</v>
          </cell>
          <cell r="B26" t="str">
            <v>ChamberCommerceDues</v>
          </cell>
          <cell r="C26">
            <v>130</v>
          </cell>
        </row>
        <row r="27">
          <cell r="A27">
            <v>135</v>
          </cell>
          <cell r="B27" t="str">
            <v>ChamberCommerceDues_inc</v>
          </cell>
          <cell r="C27">
            <v>0</v>
          </cell>
        </row>
        <row r="28">
          <cell r="A28">
            <v>140</v>
          </cell>
          <cell r="B28" t="str">
            <v>ChestnutScoring</v>
          </cell>
          <cell r="C28">
            <v>1500</v>
          </cell>
        </row>
        <row r="29">
          <cell r="A29">
            <v>145</v>
          </cell>
          <cell r="B29" t="str">
            <v>ChestnutScoring_inc</v>
          </cell>
          <cell r="C29">
            <v>3000</v>
          </cell>
        </row>
        <row r="30">
          <cell r="A30">
            <v>150</v>
          </cell>
          <cell r="B30" t="str">
            <v>Clothing4Kids</v>
          </cell>
          <cell r="C30">
            <v>159.88</v>
          </cell>
        </row>
        <row r="31">
          <cell r="A31">
            <v>155</v>
          </cell>
          <cell r="B31" t="str">
            <v>Clothing4Kids_inc</v>
          </cell>
          <cell r="C31">
            <v>85</v>
          </cell>
        </row>
        <row r="32">
          <cell r="A32">
            <v>160</v>
          </cell>
          <cell r="B32" t="str">
            <v>CreechScholarship</v>
          </cell>
          <cell r="C32">
            <v>1000</v>
          </cell>
        </row>
        <row r="33">
          <cell r="A33">
            <v>165</v>
          </cell>
          <cell r="B33" t="str">
            <v>CreechScholarship_inc</v>
          </cell>
          <cell r="C33">
            <v>0</v>
          </cell>
        </row>
        <row r="34">
          <cell r="A34">
            <v>170</v>
          </cell>
          <cell r="B34" t="str">
            <v>CubScouts</v>
          </cell>
          <cell r="C34">
            <v>0</v>
          </cell>
        </row>
        <row r="35">
          <cell r="A35">
            <v>175</v>
          </cell>
          <cell r="B35" t="str">
            <v>CubScouts_inc</v>
          </cell>
          <cell r="C35">
            <v>0</v>
          </cell>
        </row>
        <row r="36">
          <cell r="A36">
            <v>180</v>
          </cell>
          <cell r="B36" t="str">
            <v>Donations</v>
          </cell>
          <cell r="C36">
            <v>0</v>
          </cell>
        </row>
        <row r="37">
          <cell r="A37">
            <v>185</v>
          </cell>
          <cell r="B37" t="str">
            <v>Donations_inc</v>
          </cell>
          <cell r="C37">
            <v>1298.44</v>
          </cell>
        </row>
        <row r="38">
          <cell r="A38">
            <v>190</v>
          </cell>
          <cell r="B38" t="str">
            <v>EasterEggHunt</v>
          </cell>
          <cell r="C38">
            <v>179.29</v>
          </cell>
        </row>
        <row r="39">
          <cell r="A39">
            <v>195</v>
          </cell>
          <cell r="B39" t="str">
            <v>EasterEggHunt_inc</v>
          </cell>
          <cell r="C39">
            <v>22.25</v>
          </cell>
        </row>
        <row r="40">
          <cell r="A40">
            <v>200</v>
          </cell>
          <cell r="B40" t="str">
            <v>EyeGlasses &amp; HearingAids</v>
          </cell>
          <cell r="C40">
            <v>176.5</v>
          </cell>
        </row>
        <row r="41">
          <cell r="A41">
            <v>205</v>
          </cell>
          <cell r="B41" t="str">
            <v>EyeGlasses &amp; HearingAids_inc</v>
          </cell>
          <cell r="C41">
            <v>0</v>
          </cell>
        </row>
        <row r="42">
          <cell r="A42">
            <v>210</v>
          </cell>
          <cell r="B42" t="str">
            <v>Health Permit</v>
          </cell>
          <cell r="C42">
            <v>295</v>
          </cell>
        </row>
        <row r="43">
          <cell r="A43">
            <v>215</v>
          </cell>
          <cell r="B43" t="str">
            <v>Health Permit_inc</v>
          </cell>
          <cell r="C43">
            <v>0</v>
          </cell>
        </row>
        <row r="44">
          <cell r="A44">
            <v>220</v>
          </cell>
          <cell r="B44" t="str">
            <v>InsuranceOnBuildingContents</v>
          </cell>
          <cell r="C44">
            <v>0</v>
          </cell>
        </row>
        <row r="45">
          <cell r="A45">
            <v>225</v>
          </cell>
          <cell r="B45" t="str">
            <v>InsuranceOnBuildingContents_inc</v>
          </cell>
          <cell r="C45">
            <v>0</v>
          </cell>
        </row>
        <row r="46">
          <cell r="A46">
            <v>230</v>
          </cell>
          <cell r="B46" t="str">
            <v>InterestOnBankAccounts</v>
          </cell>
          <cell r="C46">
            <v>0</v>
          </cell>
        </row>
        <row r="47">
          <cell r="A47">
            <v>235</v>
          </cell>
          <cell r="B47" t="str">
            <v>InterestOnBankAccounts_inc</v>
          </cell>
          <cell r="C47">
            <v>2.25</v>
          </cell>
        </row>
        <row r="48">
          <cell r="A48">
            <v>240</v>
          </cell>
          <cell r="B48" t="str">
            <v>LCIF</v>
          </cell>
          <cell r="C48">
            <v>3000</v>
          </cell>
        </row>
        <row r="49">
          <cell r="A49">
            <v>245</v>
          </cell>
          <cell r="B49" t="str">
            <v>LCIF_inc</v>
          </cell>
          <cell r="C49">
            <v>0</v>
          </cell>
        </row>
        <row r="50">
          <cell r="A50">
            <v>250</v>
          </cell>
          <cell r="B50" t="str">
            <v>LeavenworthActivityFee</v>
          </cell>
          <cell r="C50">
            <v>200</v>
          </cell>
        </row>
        <row r="51">
          <cell r="A51">
            <v>255</v>
          </cell>
          <cell r="B51" t="str">
            <v>LeavenworthActivityFee_inc</v>
          </cell>
          <cell r="C51">
            <v>0</v>
          </cell>
        </row>
        <row r="52">
          <cell r="A52">
            <v>260</v>
          </cell>
          <cell r="B52" t="str">
            <v>MEND</v>
          </cell>
          <cell r="C52">
            <v>2200</v>
          </cell>
        </row>
        <row r="53">
          <cell r="A53">
            <v>265</v>
          </cell>
          <cell r="B53" t="str">
            <v>MEND_inc</v>
          </cell>
          <cell r="C53">
            <v>0</v>
          </cell>
        </row>
        <row r="54">
          <cell r="A54">
            <v>270</v>
          </cell>
          <cell r="B54" t="str">
            <v>MiscCommunitySupport</v>
          </cell>
          <cell r="C54">
            <v>982.65</v>
          </cell>
        </row>
        <row r="55">
          <cell r="A55">
            <v>275</v>
          </cell>
          <cell r="B55" t="str">
            <v>MiscCommunitySupport_inc</v>
          </cell>
          <cell r="C55">
            <v>1827.5</v>
          </cell>
        </row>
        <row r="56">
          <cell r="A56">
            <v>280</v>
          </cell>
          <cell r="B56" t="str">
            <v>MountainMeadows</v>
          </cell>
          <cell r="C56">
            <v>0</v>
          </cell>
        </row>
        <row r="57">
          <cell r="A57">
            <v>285</v>
          </cell>
          <cell r="B57" t="str">
            <v>MountainMeadows_inc</v>
          </cell>
          <cell r="C57">
            <v>0</v>
          </cell>
        </row>
        <row r="58">
          <cell r="A58">
            <v>290</v>
          </cell>
          <cell r="B58" t="str">
            <v>PublicRelations</v>
          </cell>
          <cell r="C58">
            <v>323.42</v>
          </cell>
        </row>
        <row r="59">
          <cell r="A59">
            <v>295</v>
          </cell>
          <cell r="B59" t="str">
            <v>PublicRelations_inc</v>
          </cell>
          <cell r="C59">
            <v>0</v>
          </cell>
        </row>
        <row r="60">
          <cell r="A60">
            <v>300</v>
          </cell>
          <cell r="B60" t="str">
            <v>Scholarships</v>
          </cell>
          <cell r="C60">
            <v>2000</v>
          </cell>
        </row>
        <row r="61">
          <cell r="A61">
            <v>305</v>
          </cell>
          <cell r="B61" t="str">
            <v>Scholarships_inc</v>
          </cell>
          <cell r="C61">
            <v>0</v>
          </cell>
        </row>
        <row r="62">
          <cell r="A62">
            <v>310</v>
          </cell>
          <cell r="B62" t="str">
            <v>SunshineCommittee</v>
          </cell>
          <cell r="C62">
            <v>25.34</v>
          </cell>
        </row>
        <row r="63">
          <cell r="A63">
            <v>315</v>
          </cell>
          <cell r="B63" t="str">
            <v>SunshineCommittee_inc</v>
          </cell>
          <cell r="C63">
            <v>0</v>
          </cell>
        </row>
        <row r="64">
          <cell r="A64">
            <v>320</v>
          </cell>
          <cell r="B64" t="str">
            <v>SwimTeamFundraiser (hot dogs)</v>
          </cell>
          <cell r="C64">
            <v>375.95</v>
          </cell>
        </row>
        <row r="65">
          <cell r="A65">
            <v>325</v>
          </cell>
          <cell r="B65" t="str">
            <v>SwimTeamFundraiser (hot dogs)_inc</v>
          </cell>
          <cell r="C65">
            <v>587.75</v>
          </cell>
        </row>
        <row r="66">
          <cell r="A66">
            <v>330</v>
          </cell>
          <cell r="B66" t="str">
            <v>VisionScreening</v>
          </cell>
          <cell r="C66">
            <v>295</v>
          </cell>
        </row>
        <row r="67">
          <cell r="A67">
            <v>335</v>
          </cell>
          <cell r="B67" t="str">
            <v>VisionScreening_inc</v>
          </cell>
          <cell r="C67">
            <v>0</v>
          </cell>
        </row>
        <row r="68">
          <cell r="A68">
            <v>340</v>
          </cell>
          <cell r="B68" t="str">
            <v>YouthExchange</v>
          </cell>
          <cell r="C68">
            <v>0</v>
          </cell>
        </row>
        <row r="69">
          <cell r="A69">
            <v>345</v>
          </cell>
          <cell r="B69" t="str">
            <v>YouthExchange_inc</v>
          </cell>
          <cell r="C69">
            <v>1000</v>
          </cell>
        </row>
        <row r="70">
          <cell r="A70">
            <v>350</v>
          </cell>
          <cell r="B70" t="str">
            <v>YouthSports</v>
          </cell>
          <cell r="C70">
            <v>500</v>
          </cell>
        </row>
        <row r="71">
          <cell r="A71">
            <v>355</v>
          </cell>
          <cell r="B71" t="str">
            <v>YouthSports_inc</v>
          </cell>
          <cell r="C7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2DBD-5DEC-0E40-9564-869277F5FB0F}">
  <dimension ref="A1:G38"/>
  <sheetViews>
    <sheetView tabSelected="1" workbookViewId="0">
      <selection activeCell="M7" sqref="M7"/>
    </sheetView>
  </sheetViews>
  <sheetFormatPr baseColWidth="10" defaultRowHeight="16" x14ac:dyDescent="0.2"/>
  <cols>
    <col min="1" max="1" width="11.1640625" customWidth="1"/>
    <col min="2" max="2" width="27.33203125" customWidth="1"/>
    <col min="3" max="3" width="19.83203125" customWidth="1"/>
    <col min="4" max="4" width="17.33203125" customWidth="1"/>
    <col min="6" max="6" width="15.6640625" customWidth="1"/>
    <col min="7" max="7" width="13.6640625" customWidth="1"/>
  </cols>
  <sheetData>
    <row r="1" spans="1:7" x14ac:dyDescent="0.2">
      <c r="A1" s="1" t="s">
        <v>0</v>
      </c>
      <c r="B1" t="s">
        <v>1</v>
      </c>
      <c r="C1" s="2" t="s">
        <v>2</v>
      </c>
      <c r="D1" s="2" t="s">
        <v>3</v>
      </c>
      <c r="F1" t="s">
        <v>5</v>
      </c>
      <c r="G1" t="s">
        <v>6</v>
      </c>
    </row>
    <row r="2" spans="1:7" x14ac:dyDescent="0.2">
      <c r="A2" s="1">
        <v>10</v>
      </c>
      <c r="B2" t="str">
        <f>VLOOKUP(A2,[1]final!$A$2:$C$71,2,FALSE)</f>
        <v>AmbassadorChristmas</v>
      </c>
      <c r="C2" s="2">
        <f>VLOOKUP(A2+5,[1]final!$A$2:$C$71, 3,FALSE)</f>
        <v>3000</v>
      </c>
      <c r="D2" s="2">
        <f>VLOOKUP($A2,[1]final!$A$2:$C$71,3,FALSE)</f>
        <v>0</v>
      </c>
      <c r="F2" s="2">
        <v>2800</v>
      </c>
      <c r="G2" s="2"/>
    </row>
    <row r="3" spans="1:7" x14ac:dyDescent="0.2">
      <c r="A3" s="1">
        <v>20</v>
      </c>
      <c r="B3" t="str">
        <f>VLOOKUP(A3,[1]final!$A$2:$C$71,2,FALSE)</f>
        <v>AmbassadorOctoberfest</v>
      </c>
      <c r="C3" s="2">
        <f>VLOOKUP(A3+5,[1]final!$A$2:$C$71, 3,FALSE)</f>
        <v>5400</v>
      </c>
      <c r="D3" s="2">
        <f>VLOOKUP(A3,[1]final!$A$2:$C$71,3,FALSE)</f>
        <v>0</v>
      </c>
      <c r="F3" s="2">
        <v>2700</v>
      </c>
      <c r="G3" s="2"/>
    </row>
    <row r="4" spans="1:7" x14ac:dyDescent="0.2">
      <c r="A4" s="1">
        <v>30</v>
      </c>
      <c r="B4" t="str">
        <f>VLOOKUP(A4,[1]final!$A$2:$C$71,2,FALSE)</f>
        <v>AmbassadorSummer</v>
      </c>
      <c r="C4" s="2">
        <f>VLOOKUP(A4+5,[1]final!$A$2:$C$71, 3,FALSE)</f>
        <v>2665</v>
      </c>
      <c r="D4" s="2">
        <f>VLOOKUP(A4,[1]final!$A$2:$C$71,3,FALSE)</f>
        <v>1328</v>
      </c>
      <c r="F4" s="2">
        <v>2000</v>
      </c>
      <c r="G4" s="2"/>
    </row>
    <row r="5" spans="1:7" x14ac:dyDescent="0.2">
      <c r="A5" s="1">
        <v>40</v>
      </c>
      <c r="B5" t="str">
        <f>VLOOKUP(A5,[1]final!$A$2:$C$71,2,FALSE)</f>
        <v>BackPackProgram</v>
      </c>
      <c r="C5" s="2">
        <f>VLOOKUP($A5+5,[1]final!$A$2:$C$71, 3,FALSE)</f>
        <v>0</v>
      </c>
      <c r="D5" s="2">
        <f>VLOOKUP(A5,[1]final!$A$2:$C$71,3,FALSE)</f>
        <v>1500</v>
      </c>
      <c r="F5" s="2"/>
      <c r="G5" s="2">
        <v>1500</v>
      </c>
    </row>
    <row r="6" spans="1:7" x14ac:dyDescent="0.2">
      <c r="A6" s="1">
        <v>50</v>
      </c>
      <c r="B6" t="str">
        <f>VLOOKUP(A6,[1]final!$A$2:$C$71,2,FALSE)</f>
        <v>BoyScouts</v>
      </c>
      <c r="C6" s="2">
        <f>VLOOKUP($A6+5,[1]final!$A$2:$C$71, 3,FALSE)</f>
        <v>0</v>
      </c>
      <c r="D6" s="2">
        <f>VLOOKUP(A6,[1]final!$A$2:$C$71,3,FALSE)</f>
        <v>0</v>
      </c>
      <c r="F6" s="2"/>
      <c r="G6" s="2">
        <v>200</v>
      </c>
    </row>
    <row r="7" spans="1:7" x14ac:dyDescent="0.2">
      <c r="A7" s="1">
        <v>60</v>
      </c>
      <c r="B7" t="str">
        <f>VLOOKUP(A7,[1]final!$A$2:$C$71,2,FALSE)</f>
        <v>Breakfast Jul-Sept 2024</v>
      </c>
      <c r="C7" s="2">
        <f>VLOOKUP($A7+5,[1]final!$A$2:$C$71, 3,FALSE)</f>
        <v>9050.380000000001</v>
      </c>
      <c r="D7" s="2">
        <f>VLOOKUP(A7,[1]final!$A$2:$C$71,3,FALSE)</f>
        <v>1341.57</v>
      </c>
      <c r="F7" s="2">
        <v>1380.7</v>
      </c>
      <c r="G7" s="2">
        <v>669.7</v>
      </c>
    </row>
    <row r="8" spans="1:7" x14ac:dyDescent="0.2">
      <c r="A8" s="1">
        <v>70</v>
      </c>
      <c r="B8" t="str">
        <f>VLOOKUP(A8,[1]final!$A$2:$C$71,2,FALSE)</f>
        <v>Breakfast May-June 2025</v>
      </c>
      <c r="C8" s="2">
        <f>VLOOKUP($A8+5,[1]final!$A$2:$C$71, 3,FALSE)</f>
        <v>0</v>
      </c>
      <c r="D8" s="2">
        <f>VLOOKUP(A8,[1]final!$A$2:$C$71,3,FALSE)</f>
        <v>126.94</v>
      </c>
      <c r="F8" s="2">
        <v>8000</v>
      </c>
      <c r="G8" s="2">
        <v>3000</v>
      </c>
    </row>
    <row r="9" spans="1:7" x14ac:dyDescent="0.2">
      <c r="A9" s="1">
        <v>80</v>
      </c>
      <c r="B9" t="str">
        <f>VLOOKUP(A9,[1]final!$A$2:$C$71,2,FALSE)</f>
        <v>Building Rental</v>
      </c>
      <c r="C9" s="2">
        <f>VLOOKUP($A9+5,[1]final!$A$2:$C$71, 3,FALSE)</f>
        <v>59.88</v>
      </c>
      <c r="D9" s="2">
        <f>VLOOKUP(A9,[1]final!$A$2:$C$71,3,FALSE)</f>
        <v>0</v>
      </c>
      <c r="F9" s="2">
        <v>100</v>
      </c>
      <c r="G9" s="2"/>
    </row>
    <row r="10" spans="1:7" x14ac:dyDescent="0.2">
      <c r="A10" s="1">
        <v>90</v>
      </c>
      <c r="B10" t="str">
        <f>VLOOKUP(A10,[1]final!$A$2:$C$71,2,FALSE)</f>
        <v>CampStix</v>
      </c>
      <c r="C10" s="2">
        <f>VLOOKUP($A10+5,[1]final!$A$2:$C$71, 3,FALSE)</f>
        <v>0</v>
      </c>
      <c r="D10" s="2">
        <f>VLOOKUP(A10,[1]final!$A$2:$C$71,3,FALSE)</f>
        <v>1500</v>
      </c>
      <c r="F10" s="2"/>
      <c r="G10" s="2">
        <v>1000</v>
      </c>
    </row>
    <row r="11" spans="1:7" x14ac:dyDescent="0.2">
      <c r="A11" s="1">
        <v>100</v>
      </c>
      <c r="B11" t="str">
        <f>VLOOKUP(A11,[1]final!$A$2:$C$71,2,FALSE)</f>
        <v>CancerHouse</v>
      </c>
      <c r="C11" s="2">
        <f>VLOOKUP($A11+5,[1]final!$A$2:$C$71, 3,FALSE)</f>
        <v>0</v>
      </c>
      <c r="D11" s="2">
        <f>VLOOKUP(A11,[1]final!$A$2:$C$71,3,FALSE)</f>
        <v>0</v>
      </c>
      <c r="F11" s="2"/>
      <c r="G11" s="2">
        <v>500</v>
      </c>
    </row>
    <row r="12" spans="1:7" x14ac:dyDescent="0.2">
      <c r="A12" s="1">
        <v>110</v>
      </c>
      <c r="B12" t="str">
        <f>VLOOKUP(A12,[1]final!$A$2:$C$71,2,FALSE)</f>
        <v>CAREMD19</v>
      </c>
      <c r="C12" s="2">
        <f>VLOOKUP($A12+5,[1]final!$A$2:$C$71, 3,FALSE)</f>
        <v>0</v>
      </c>
      <c r="D12" s="2">
        <f>VLOOKUP(A12,[1]final!$A$2:$C$71,3,FALSE)</f>
        <v>500</v>
      </c>
      <c r="F12" s="2"/>
      <c r="G12" s="2">
        <v>500</v>
      </c>
    </row>
    <row r="13" spans="1:7" x14ac:dyDescent="0.2">
      <c r="A13" s="1">
        <v>120</v>
      </c>
      <c r="B13" t="str">
        <f>VLOOKUP(A13,[1]final!$A$2:$C$71,2,FALSE)</f>
        <v>CasscadeMedicalFoundation</v>
      </c>
      <c r="C13" s="2">
        <f>VLOOKUP($A13+5,[1]final!$A$2:$C$71, 3,FALSE)</f>
        <v>0</v>
      </c>
      <c r="D13" s="2">
        <f>VLOOKUP(A13,[1]final!$A$2:$C$71,3,FALSE)</f>
        <v>1850</v>
      </c>
      <c r="F13" s="2"/>
      <c r="G13" s="2">
        <v>750</v>
      </c>
    </row>
    <row r="14" spans="1:7" x14ac:dyDescent="0.2">
      <c r="A14" s="1">
        <v>130</v>
      </c>
      <c r="B14" t="str">
        <f>VLOOKUP(A14,[1]final!$A$2:$C$71,2,FALSE)</f>
        <v>ChamberCommerceDues</v>
      </c>
      <c r="C14" s="2">
        <f>VLOOKUP($A14+5,[1]final!$A$2:$C$71, 3,FALSE)</f>
        <v>0</v>
      </c>
      <c r="D14" s="2">
        <f>VLOOKUP(A14,[1]final!$A$2:$C$71,3,FALSE)</f>
        <v>130</v>
      </c>
      <c r="F14" s="2"/>
      <c r="G14" s="2">
        <v>125</v>
      </c>
    </row>
    <row r="15" spans="1:7" x14ac:dyDescent="0.2">
      <c r="A15" s="1">
        <v>140</v>
      </c>
      <c r="B15" t="str">
        <f>VLOOKUP(A15,[1]final!$A$2:$C$71,2,FALSE)</f>
        <v>ChestnutScoring</v>
      </c>
      <c r="C15" s="2">
        <f>VLOOKUP($A15+5,[1]final!$A$2:$C$71, 3,FALSE)</f>
        <v>3000</v>
      </c>
      <c r="D15" s="2">
        <f>VLOOKUP(A15,[1]final!$A$2:$C$71,3,FALSE)</f>
        <v>1500</v>
      </c>
      <c r="F15" s="2"/>
      <c r="G15" s="2"/>
    </row>
    <row r="16" spans="1:7" x14ac:dyDescent="0.2">
      <c r="A16" s="1">
        <v>150</v>
      </c>
      <c r="B16" t="str">
        <f>VLOOKUP(A16,[1]final!$A$2:$C$71,2,FALSE)</f>
        <v>Clothing4Kids</v>
      </c>
      <c r="C16" s="2">
        <f>VLOOKUP($A16+5,[1]final!$A$2:$C$71, 3,FALSE)</f>
        <v>85</v>
      </c>
      <c r="D16" s="2">
        <f>VLOOKUP(A16,[1]final!$A$2:$C$71,3,FALSE)</f>
        <v>159.88</v>
      </c>
      <c r="F16" s="2"/>
      <c r="G16" s="2"/>
    </row>
    <row r="17" spans="1:7" x14ac:dyDescent="0.2">
      <c r="A17" s="1">
        <v>160</v>
      </c>
      <c r="B17" t="str">
        <f>VLOOKUP(A17,[1]final!$A$2:$C$71,2,FALSE)</f>
        <v>CreechScholarship</v>
      </c>
      <c r="C17" s="2">
        <f>VLOOKUP($A17+5,[1]final!$A$2:$C$71, 3,FALSE)</f>
        <v>0</v>
      </c>
      <c r="D17" s="2">
        <f>VLOOKUP(A17,[1]final!$A$2:$C$71,3,FALSE)</f>
        <v>1000</v>
      </c>
      <c r="F17" s="2">
        <v>4000</v>
      </c>
      <c r="G17" s="2">
        <v>4000</v>
      </c>
    </row>
    <row r="18" spans="1:7" x14ac:dyDescent="0.2">
      <c r="A18" s="1">
        <v>170</v>
      </c>
      <c r="B18" t="str">
        <f>VLOOKUP(A18,[1]final!$A$2:$C$71,2,FALSE)</f>
        <v>CubScouts</v>
      </c>
      <c r="C18" s="2">
        <f>VLOOKUP($A18+5,[1]final!$A$2:$C$71, 3,FALSE)</f>
        <v>0</v>
      </c>
      <c r="D18" s="2">
        <f>VLOOKUP(A18,[1]final!$A$2:$C$71,3,FALSE)</f>
        <v>0</v>
      </c>
      <c r="F18" s="2"/>
      <c r="G18" s="2">
        <v>200</v>
      </c>
    </row>
    <row r="19" spans="1:7" x14ac:dyDescent="0.2">
      <c r="A19" s="1">
        <v>180</v>
      </c>
      <c r="B19" t="str">
        <f>VLOOKUP(A19,[1]final!$A$2:$C$71,2,FALSE)</f>
        <v>Donations</v>
      </c>
      <c r="C19" s="2">
        <f>VLOOKUP($A19+5,[1]final!$A$2:$C$71, 3,FALSE)</f>
        <v>1298.44</v>
      </c>
      <c r="D19" s="2">
        <f>VLOOKUP(A19,[1]final!$A$2:$C$71,3,FALSE)</f>
        <v>0</v>
      </c>
      <c r="F19" s="2">
        <v>160</v>
      </c>
      <c r="G19" s="2"/>
    </row>
    <row r="20" spans="1:7" x14ac:dyDescent="0.2">
      <c r="A20" s="1">
        <v>190</v>
      </c>
      <c r="B20" t="str">
        <f>VLOOKUP(A20,[1]final!$A$2:$C$71,2,FALSE)</f>
        <v>EasterEggHunt</v>
      </c>
      <c r="C20" s="2">
        <f>VLOOKUP($A20+5,[1]final!$A$2:$C$71, 3,FALSE)</f>
        <v>22.25</v>
      </c>
      <c r="D20" s="2">
        <f>VLOOKUP(A20,[1]final!$A$2:$C$71,3,FALSE)</f>
        <v>179.29</v>
      </c>
      <c r="F20" s="2"/>
      <c r="G20" s="2">
        <v>300</v>
      </c>
    </row>
    <row r="21" spans="1:7" x14ac:dyDescent="0.2">
      <c r="A21" s="1">
        <v>200</v>
      </c>
      <c r="B21" t="str">
        <f>VLOOKUP(A21,[1]final!$A$2:$C$71,2,FALSE)</f>
        <v>EyeGlasses &amp; HearingAids</v>
      </c>
      <c r="C21" s="2">
        <f>VLOOKUP($A21+5,[1]final!$A$2:$C$71, 3,FALSE)</f>
        <v>0</v>
      </c>
      <c r="D21" s="2">
        <f>VLOOKUP(A21,[1]final!$A$2:$C$71,3,FALSE)</f>
        <v>176.5</v>
      </c>
      <c r="F21" s="2"/>
      <c r="G21" s="2">
        <v>2500</v>
      </c>
    </row>
    <row r="22" spans="1:7" x14ac:dyDescent="0.2">
      <c r="A22" s="1">
        <v>210</v>
      </c>
      <c r="B22" t="str">
        <f>VLOOKUP(A22,[1]final!$A$2:$C$71,2,FALSE)</f>
        <v>Health Permit</v>
      </c>
      <c r="C22" s="2">
        <f>VLOOKUP($A22+5,[1]final!$A$2:$C$71, 3,FALSE)</f>
        <v>0</v>
      </c>
      <c r="D22" s="2">
        <f>VLOOKUP(A22,[1]final!$A$2:$C$71,3,FALSE)</f>
        <v>295</v>
      </c>
      <c r="F22" s="2"/>
      <c r="G22" s="2">
        <v>320</v>
      </c>
    </row>
    <row r="23" spans="1:7" x14ac:dyDescent="0.2">
      <c r="A23" s="1">
        <v>220</v>
      </c>
      <c r="B23" t="str">
        <f>VLOOKUP(A23,[1]final!$A$2:$C$71,2,FALSE)</f>
        <v>InsuranceOnBuildingContents</v>
      </c>
      <c r="C23" s="2">
        <f>VLOOKUP($A23+5,[1]final!$A$2:$C$71, 3,FALSE)</f>
        <v>0</v>
      </c>
      <c r="D23" s="2">
        <f>VLOOKUP(A23,[1]final!$A$2:$C$71,3,FALSE)+450</f>
        <v>450</v>
      </c>
      <c r="F23" s="2"/>
      <c r="G23" s="2">
        <v>600</v>
      </c>
    </row>
    <row r="24" spans="1:7" x14ac:dyDescent="0.2">
      <c r="A24" s="1">
        <v>230</v>
      </c>
      <c r="B24" t="str">
        <f>VLOOKUP(A24,[1]final!$A$2:$C$71,2,FALSE)</f>
        <v>InterestOnBankAccounts</v>
      </c>
      <c r="C24" s="2">
        <f>VLOOKUP($A24+5,[1]final!$A$2:$C$71, 3,FALSE)</f>
        <v>2.25</v>
      </c>
      <c r="D24" s="2">
        <f>VLOOKUP(A24,[1]final!$A$2:$C$71,3,FALSE)</f>
        <v>0</v>
      </c>
      <c r="F24" s="2">
        <v>3</v>
      </c>
      <c r="G24" s="2"/>
    </row>
    <row r="25" spans="1:7" x14ac:dyDescent="0.2">
      <c r="A25" s="1">
        <v>240</v>
      </c>
      <c r="B25" t="str">
        <f>VLOOKUP(A25,[1]final!$A$2:$C$71,2,FALSE)</f>
        <v>LCIF</v>
      </c>
      <c r="C25" s="2">
        <f>VLOOKUP($A25+5,[1]final!$A$2:$C$71, 3,FALSE)</f>
        <v>0</v>
      </c>
      <c r="D25" s="2">
        <f>VLOOKUP(A25,[1]final!$A$2:$C$71,3,FALSE)</f>
        <v>3000</v>
      </c>
      <c r="F25" s="2"/>
      <c r="G25" s="2">
        <v>500</v>
      </c>
    </row>
    <row r="26" spans="1:7" x14ac:dyDescent="0.2">
      <c r="A26" s="1">
        <v>250</v>
      </c>
      <c r="B26" t="str">
        <f>VLOOKUP(A26,[1]final!$A$2:$C$71,2,FALSE)</f>
        <v>LeavenworthActivityFee</v>
      </c>
      <c r="C26" s="2">
        <f>VLOOKUP($A26+5,[1]final!$A$2:$C$71, 3,FALSE)</f>
        <v>0</v>
      </c>
      <c r="D26" s="2">
        <f>VLOOKUP(A26,[1]final!$A$2:$C$71,3,FALSE)</f>
        <v>200</v>
      </c>
      <c r="F26" s="2"/>
      <c r="G26" s="2">
        <v>200</v>
      </c>
    </row>
    <row r="27" spans="1:7" x14ac:dyDescent="0.2">
      <c r="A27" s="1">
        <v>260</v>
      </c>
      <c r="B27" t="str">
        <f>VLOOKUP(A27,[1]final!$A$2:$C$71,2,FALSE)</f>
        <v>MEND</v>
      </c>
      <c r="C27" s="2">
        <f>VLOOKUP($A27+5,[1]final!$A$2:$C$71, 3,FALSE)</f>
        <v>0</v>
      </c>
      <c r="D27" s="2">
        <f>VLOOKUP(A27,[1]final!$A$2:$C$71,3,FALSE)</f>
        <v>2200</v>
      </c>
      <c r="F27" s="2"/>
      <c r="G27" s="2">
        <v>2000</v>
      </c>
    </row>
    <row r="28" spans="1:7" x14ac:dyDescent="0.2">
      <c r="A28" s="1">
        <v>270</v>
      </c>
      <c r="B28" t="str">
        <f>VLOOKUP(A28,[1]final!$A$2:$C$71,2,FALSE)</f>
        <v>MiscCommunitySupport</v>
      </c>
      <c r="C28" s="2">
        <f>VLOOKUP($A28+5,[1]final!$A$2:$C$71, 3,FALSE)</f>
        <v>1827.5</v>
      </c>
      <c r="D28" s="2">
        <f>VLOOKUP(A28,[1]final!$A$2:$C$71,3,FALSE)</f>
        <v>982.65</v>
      </c>
      <c r="F28" s="2"/>
      <c r="G28" s="2">
        <v>1000</v>
      </c>
    </row>
    <row r="29" spans="1:7" x14ac:dyDescent="0.2">
      <c r="A29" s="1">
        <v>280</v>
      </c>
      <c r="B29" t="str">
        <f>VLOOKUP(A29,[1]final!$A$2:$C$71,2,FALSE)</f>
        <v>MountainMeadows</v>
      </c>
      <c r="C29" s="2">
        <f>VLOOKUP($A29+5,[1]final!$A$2:$C$71, 3,FALSE)</f>
        <v>0</v>
      </c>
      <c r="D29" s="2">
        <f>VLOOKUP(A29,[1]final!$A$2:$C$71,3,FALSE)</f>
        <v>0</v>
      </c>
      <c r="F29" s="2"/>
      <c r="G29" s="2">
        <v>200</v>
      </c>
    </row>
    <row r="30" spans="1:7" x14ac:dyDescent="0.2">
      <c r="A30" s="1">
        <v>290</v>
      </c>
      <c r="B30" t="str">
        <f>VLOOKUP(A30,[1]final!$A$2:$C$71,2,FALSE)</f>
        <v>PublicRelations</v>
      </c>
      <c r="C30" s="2">
        <f>VLOOKUP($A30+5,[1]final!$A$2:$C$71, 3,FALSE)</f>
        <v>0</v>
      </c>
      <c r="D30" s="2">
        <f>VLOOKUP(A30,[1]final!$A$2:$C$71,3,FALSE)</f>
        <v>323.42</v>
      </c>
      <c r="F30" s="2"/>
      <c r="G30" s="2"/>
    </row>
    <row r="31" spans="1:7" x14ac:dyDescent="0.2">
      <c r="A31" s="1">
        <v>300</v>
      </c>
      <c r="B31" t="str">
        <f>VLOOKUP(A31,[1]final!$A$2:$C$71,2,FALSE)</f>
        <v>Scholarships</v>
      </c>
      <c r="C31" s="2">
        <f>VLOOKUP($A31+5,[1]final!$A$2:$C$71, 3,FALSE)</f>
        <v>0</v>
      </c>
      <c r="D31" s="2">
        <f>VLOOKUP(A31,[1]final!$A$2:$C$71,3,FALSE)</f>
        <v>2000</v>
      </c>
      <c r="F31" s="2"/>
      <c r="G31" s="2">
        <v>3000</v>
      </c>
    </row>
    <row r="32" spans="1:7" x14ac:dyDescent="0.2">
      <c r="A32" s="1">
        <v>310</v>
      </c>
      <c r="B32" t="str">
        <f>VLOOKUP(A32,[1]final!$A$2:$C$71,2,FALSE)</f>
        <v>SunshineCommittee</v>
      </c>
      <c r="C32" s="2">
        <f>VLOOKUP($A32+5,[1]final!$A$2:$C$71, 3,FALSE)</f>
        <v>0</v>
      </c>
      <c r="D32" s="2">
        <f>VLOOKUP(A32,[1]final!$A$2:$C$71,3,FALSE)</f>
        <v>25.34</v>
      </c>
      <c r="F32" s="2"/>
      <c r="G32" s="2"/>
    </row>
    <row r="33" spans="1:7" x14ac:dyDescent="0.2">
      <c r="A33" s="1">
        <v>320</v>
      </c>
      <c r="B33" t="str">
        <f>VLOOKUP(A33,[1]final!$A$2:$C$71,2,FALSE)</f>
        <v>SwimTeamFundraiser (hot dogs)</v>
      </c>
      <c r="C33" s="2">
        <f>VLOOKUP($A33+5,[1]final!$A$2:$C$71, 3,FALSE)</f>
        <v>587.75</v>
      </c>
      <c r="D33" s="2">
        <f>VLOOKUP(A33,[1]final!$A$2:$C$71,3,FALSE)</f>
        <v>375.95</v>
      </c>
      <c r="F33" s="2">
        <v>1800</v>
      </c>
      <c r="G33" s="2">
        <v>600</v>
      </c>
    </row>
    <row r="34" spans="1:7" x14ac:dyDescent="0.2">
      <c r="A34" s="1">
        <v>330</v>
      </c>
      <c r="B34" t="str">
        <f>VLOOKUP(A34,[1]final!$A$2:$C$71,2,FALSE)</f>
        <v>VisionScreening</v>
      </c>
      <c r="C34" s="2">
        <f>VLOOKUP($A34+5,[1]final!$A$2:$C$71, 3,FALSE)</f>
        <v>0</v>
      </c>
      <c r="D34" s="2">
        <f>VLOOKUP(A34,[1]final!$A$2:$C$71,3,FALSE)</f>
        <v>295</v>
      </c>
      <c r="F34" s="2"/>
      <c r="G34" s="2">
        <v>295</v>
      </c>
    </row>
    <row r="35" spans="1:7" x14ac:dyDescent="0.2">
      <c r="A35" s="1">
        <v>340</v>
      </c>
      <c r="B35" t="str">
        <f>VLOOKUP(A35,[1]final!$A$2:$C$71,2,FALSE)</f>
        <v>YouthExchange</v>
      </c>
      <c r="C35" s="2">
        <f>VLOOKUP($A35+5,[1]final!$A$2:$C$71, 3,FALSE)</f>
        <v>1000</v>
      </c>
      <c r="D35" s="2">
        <f>VLOOKUP(A35,[1]final!$A$2:$C$71,3,FALSE)</f>
        <v>0</v>
      </c>
      <c r="F35" s="2"/>
      <c r="G35" s="2">
        <v>1000</v>
      </c>
    </row>
    <row r="36" spans="1:7" x14ac:dyDescent="0.2">
      <c r="A36" s="1">
        <v>350</v>
      </c>
      <c r="B36" t="str">
        <f>VLOOKUP(A36,[1]final!$A$2:$C$71,2,FALSE)</f>
        <v>YouthSports</v>
      </c>
      <c r="C36" s="2">
        <f>VLOOKUP($A36+5,[1]final!$A$2:$C$71, 3,FALSE)</f>
        <v>0</v>
      </c>
      <c r="D36" s="2">
        <f>VLOOKUP(A36,[1]final!$A$2:$C$71,3,FALSE)</f>
        <v>500</v>
      </c>
      <c r="F36" s="2"/>
      <c r="G36" s="2">
        <v>1000</v>
      </c>
    </row>
    <row r="37" spans="1:7" x14ac:dyDescent="0.2">
      <c r="A37" s="1">
        <v>360</v>
      </c>
      <c r="B37" t="s">
        <v>4</v>
      </c>
      <c r="C37" s="2">
        <v>0</v>
      </c>
      <c r="D37" s="2">
        <v>1000</v>
      </c>
      <c r="F37" s="2"/>
      <c r="G37" s="2">
        <v>1000</v>
      </c>
    </row>
    <row r="38" spans="1:7" x14ac:dyDescent="0.2">
      <c r="C38" s="3">
        <f>SUM(C2:C36)</f>
        <v>27998.45</v>
      </c>
      <c r="D38" s="3">
        <f>SUM(D2:D36)</f>
        <v>21939.54</v>
      </c>
      <c r="F38" s="3">
        <f>SUM(F2:F36)</f>
        <v>22943.7</v>
      </c>
      <c r="G38" s="3">
        <f>SUM(G2:G36)</f>
        <v>25959.7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Nelson</dc:creator>
  <cp:lastModifiedBy>Dan Nelson</cp:lastModifiedBy>
  <dcterms:created xsi:type="dcterms:W3CDTF">2025-04-20T05:43:39Z</dcterms:created>
  <dcterms:modified xsi:type="dcterms:W3CDTF">2025-04-24T21:35:37Z</dcterms:modified>
</cp:coreProperties>
</file>