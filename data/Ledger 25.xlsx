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nelson/Desktop/we-serve/data/"/>
    </mc:Choice>
  </mc:AlternateContent>
  <xr:revisionPtr revIDLastSave="0" documentId="13_ncr:1_{BF8C5485-E00C-1B44-B4FC-A2161F6AEB9A}" xr6:coauthVersionLast="47" xr6:coauthVersionMax="47" xr10:uidLastSave="{00000000-0000-0000-0000-000000000000}"/>
  <bookViews>
    <workbookView xWindow="1880" yWindow="1840" windowWidth="27240" windowHeight="16440" xr2:uid="{254E1F4E-7E9E-BF4D-B5B5-C1B5F03758AB}"/>
  </bookViews>
  <sheets>
    <sheet name="Ledger 24-25" sheetId="1" r:id="rId1"/>
  </sheets>
  <externalReferences>
    <externalReference r:id="rId2"/>
  </externalReferences>
  <definedNames>
    <definedName name="AccountsCha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2" i="1"/>
  <c r="A84" i="1"/>
  <c r="A85" i="1" s="1"/>
  <c r="E83" i="1"/>
  <c r="E85" i="1"/>
  <c r="E84" i="1"/>
  <c r="A83" i="1"/>
  <c r="E82" i="1"/>
  <c r="A82" i="1"/>
  <c r="E81" i="1"/>
  <c r="A80" i="1"/>
  <c r="A81" i="1" s="1"/>
  <c r="E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F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</calcChain>
</file>

<file path=xl/sharedStrings.xml><?xml version="1.0" encoding="utf-8"?>
<sst xmlns="http://schemas.openxmlformats.org/spreadsheetml/2006/main" count="129" uniqueCount="57">
  <si>
    <t>Joyce Stevens</t>
  </si>
  <si>
    <t>CARE MD19</t>
  </si>
  <si>
    <t>Cascade Medical Foundation</t>
  </si>
  <si>
    <t>LUMC</t>
  </si>
  <si>
    <t>City of Leavenworth</t>
  </si>
  <si>
    <t>Dorothy Nellis</t>
  </si>
  <si>
    <t>Dog Leaders for Blind</t>
  </si>
  <si>
    <t>CVB</t>
  </si>
  <si>
    <t>Leavenworth Soccer Club</t>
  </si>
  <si>
    <t>CampStix</t>
  </si>
  <si>
    <t>PEO</t>
  </si>
  <si>
    <t>Zarthon Masonic Lodge</t>
  </si>
  <si>
    <t>x</t>
  </si>
  <si>
    <t>Lee's Chestnuts</t>
  </si>
  <si>
    <t>interest</t>
  </si>
  <si>
    <t>breakfasts</t>
  </si>
  <si>
    <t>Ward Media</t>
  </si>
  <si>
    <t>LCIF LA Fires</t>
  </si>
  <si>
    <t>Vision Source</t>
  </si>
  <si>
    <t>MEND</t>
  </si>
  <si>
    <t>Tony Mafrey</t>
  </si>
  <si>
    <t>donations</t>
  </si>
  <si>
    <t>happy bucks</t>
  </si>
  <si>
    <t>3027adm</t>
  </si>
  <si>
    <t>Chamber of Commerce</t>
  </si>
  <si>
    <t>Sherry Maffrey</t>
  </si>
  <si>
    <t>sale of supply cabinet</t>
  </si>
  <si>
    <t>Anita Wilkie</t>
  </si>
  <si>
    <t>Chelan County Fair</t>
  </si>
  <si>
    <t>clothing sales</t>
  </si>
  <si>
    <t>LCIF</t>
  </si>
  <si>
    <t>Plus Optics</t>
  </si>
  <si>
    <t>Dan's Food Market</t>
  </si>
  <si>
    <t>FOL-tents</t>
  </si>
  <si>
    <t xml:space="preserve">URM </t>
  </si>
  <si>
    <t xml:space="preserve">BYU </t>
  </si>
  <si>
    <t>return seed for Breakfast</t>
  </si>
  <si>
    <t>URM</t>
  </si>
  <si>
    <t>breakfast donations</t>
  </si>
  <si>
    <t>Breakfast donations</t>
  </si>
  <si>
    <t>Breakfast</t>
  </si>
  <si>
    <t>reimbursed</t>
  </si>
  <si>
    <t>Leavenworth Swim Team</t>
  </si>
  <si>
    <t>UW</t>
  </si>
  <si>
    <t>CWU</t>
  </si>
  <si>
    <t>hot dog sales</t>
  </si>
  <si>
    <t xml:space="preserve">ponderosa 4h </t>
  </si>
  <si>
    <t>BUDGET</t>
  </si>
  <si>
    <t>BUDGET_LINE</t>
  </si>
  <si>
    <t>AMOUNT</t>
  </si>
  <si>
    <t>EXP/INC</t>
  </si>
  <si>
    <t>CHECK</t>
  </si>
  <si>
    <t>PAYEE/FROM</t>
  </si>
  <si>
    <t>DATE</t>
  </si>
  <si>
    <t>ID</t>
  </si>
  <si>
    <t>staff card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</si>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</sst>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44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nnelson/Desktop/we_serve/data/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</sheetNames>
    <sheetDataSet>
      <sheetData sheetId="0">
        <row r="2">
          <cell r="A2">
            <v>10</v>
          </cell>
          <cell r="B2" t="str">
            <v>AmbassadorChristmas</v>
          </cell>
        </row>
        <row r="3">
          <cell r="A3">
            <v>15</v>
          </cell>
          <cell r="B3" t="str">
            <v>AmbassadorChristmas_inc</v>
          </cell>
        </row>
        <row r="4">
          <cell r="A4">
            <v>20</v>
          </cell>
          <cell r="B4" t="str">
            <v>AmbassadorOctoberfest</v>
          </cell>
        </row>
        <row r="5">
          <cell r="A5">
            <v>25</v>
          </cell>
          <cell r="B5" t="str">
            <v>AmbassadorOctoberfest_inc</v>
          </cell>
        </row>
        <row r="6">
          <cell r="A6">
            <v>30</v>
          </cell>
          <cell r="B6" t="str">
            <v>AmbassadorSummer</v>
          </cell>
        </row>
        <row r="7">
          <cell r="A7">
            <v>35</v>
          </cell>
          <cell r="B7" t="str">
            <v>AmbassadorSummer_inc</v>
          </cell>
        </row>
        <row r="8">
          <cell r="A8">
            <v>40</v>
          </cell>
          <cell r="B8" t="str">
            <v>BackPackProgram</v>
          </cell>
        </row>
        <row r="9">
          <cell r="A9">
            <v>45</v>
          </cell>
          <cell r="B9" t="str">
            <v>BackPackProgram_inc</v>
          </cell>
        </row>
        <row r="10">
          <cell r="A10">
            <v>50</v>
          </cell>
          <cell r="B10" t="str">
            <v>BoyScouts</v>
          </cell>
        </row>
        <row r="11">
          <cell r="A11">
            <v>55</v>
          </cell>
          <cell r="B11" t="str">
            <v>BoyScouts_inc</v>
          </cell>
        </row>
        <row r="12">
          <cell r="A12">
            <v>60</v>
          </cell>
          <cell r="B12" t="str">
            <v>Breakfast Jul-Sept 2024</v>
          </cell>
        </row>
        <row r="13">
          <cell r="A13">
            <v>65</v>
          </cell>
          <cell r="B13" t="str">
            <v>Breakfast Jul-Sept 2025_inc</v>
          </cell>
        </row>
        <row r="14">
          <cell r="A14">
            <v>70</v>
          </cell>
          <cell r="B14" t="str">
            <v>Breakfast May-June 2025</v>
          </cell>
        </row>
        <row r="15">
          <cell r="A15">
            <v>75</v>
          </cell>
          <cell r="B15" t="str">
            <v>Breakfast May-June 2026_inc</v>
          </cell>
        </row>
        <row r="16">
          <cell r="A16">
            <v>80</v>
          </cell>
          <cell r="B16" t="str">
            <v>Building Rental</v>
          </cell>
        </row>
        <row r="17">
          <cell r="A17">
            <v>85</v>
          </cell>
          <cell r="B17" t="str">
            <v>Building Rental_inc</v>
          </cell>
        </row>
        <row r="18">
          <cell r="A18">
            <v>90</v>
          </cell>
          <cell r="B18" t="str">
            <v>CampStix</v>
          </cell>
        </row>
        <row r="19">
          <cell r="A19">
            <v>95</v>
          </cell>
          <cell r="B19" t="str">
            <v>CampStix_inc</v>
          </cell>
        </row>
        <row r="20">
          <cell r="A20">
            <v>100</v>
          </cell>
          <cell r="B20" t="str">
            <v>CancerHouse</v>
          </cell>
        </row>
        <row r="21">
          <cell r="A21">
            <v>105</v>
          </cell>
          <cell r="B21" t="str">
            <v>CancerHouse_inc</v>
          </cell>
        </row>
        <row r="22">
          <cell r="A22">
            <v>110</v>
          </cell>
          <cell r="B22" t="str">
            <v>CAREMD19</v>
          </cell>
        </row>
        <row r="23">
          <cell r="A23">
            <v>115</v>
          </cell>
          <cell r="B23" t="str">
            <v>CAREMD19_inc</v>
          </cell>
        </row>
        <row r="24">
          <cell r="A24">
            <v>120</v>
          </cell>
          <cell r="B24" t="str">
            <v>CasscadeMedicalFoundation</v>
          </cell>
        </row>
        <row r="25">
          <cell r="A25">
            <v>125</v>
          </cell>
          <cell r="B25" t="str">
            <v>CascadeMedicalFoundation_inc</v>
          </cell>
        </row>
        <row r="26">
          <cell r="A26">
            <v>130</v>
          </cell>
          <cell r="B26" t="str">
            <v>ChamberCommerceDues</v>
          </cell>
        </row>
        <row r="27">
          <cell r="A27">
            <v>135</v>
          </cell>
          <cell r="B27" t="str">
            <v>ChamberCommerceDues_inc</v>
          </cell>
        </row>
        <row r="28">
          <cell r="A28">
            <v>140</v>
          </cell>
          <cell r="B28" t="str">
            <v>ChestnutScoring</v>
          </cell>
        </row>
        <row r="29">
          <cell r="A29">
            <v>145</v>
          </cell>
          <cell r="B29" t="str">
            <v>ChestnutScoring_inc</v>
          </cell>
        </row>
        <row r="30">
          <cell r="A30">
            <v>150</v>
          </cell>
          <cell r="B30" t="str">
            <v>Clothing4Kids</v>
          </cell>
        </row>
        <row r="31">
          <cell r="A31">
            <v>155</v>
          </cell>
          <cell r="B31" t="str">
            <v>Clothing4Kids_inc</v>
          </cell>
        </row>
        <row r="32">
          <cell r="A32">
            <v>160</v>
          </cell>
          <cell r="B32" t="str">
            <v>CreechScholarship</v>
          </cell>
        </row>
        <row r="33">
          <cell r="A33">
            <v>165</v>
          </cell>
          <cell r="B33" t="str">
            <v>CreechScholarship_inc</v>
          </cell>
        </row>
        <row r="34">
          <cell r="A34">
            <v>170</v>
          </cell>
          <cell r="B34" t="str">
            <v>CubScouts</v>
          </cell>
        </row>
        <row r="35">
          <cell r="A35">
            <v>175</v>
          </cell>
          <cell r="B35" t="str">
            <v>CubScouts_inc</v>
          </cell>
        </row>
        <row r="36">
          <cell r="A36">
            <v>180</v>
          </cell>
          <cell r="B36" t="str">
            <v>Donations</v>
          </cell>
        </row>
        <row r="37">
          <cell r="A37">
            <v>185</v>
          </cell>
          <cell r="B37" t="str">
            <v>Donations_inc</v>
          </cell>
        </row>
        <row r="38">
          <cell r="A38">
            <v>190</v>
          </cell>
          <cell r="B38" t="str">
            <v>EasterEggHunt</v>
          </cell>
        </row>
        <row r="39">
          <cell r="A39">
            <v>195</v>
          </cell>
          <cell r="B39" t="str">
            <v>EasterEggHunt_inc</v>
          </cell>
        </row>
        <row r="40">
          <cell r="A40">
            <v>200</v>
          </cell>
          <cell r="B40" t="str">
            <v>EyeGlasses &amp; HearingAids</v>
          </cell>
        </row>
        <row r="41">
          <cell r="A41">
            <v>205</v>
          </cell>
          <cell r="B41" t="str">
            <v>EyeGlasses &amp; HearingAids_inc</v>
          </cell>
        </row>
        <row r="42">
          <cell r="A42">
            <v>210</v>
          </cell>
          <cell r="B42" t="str">
            <v>Health Permit</v>
          </cell>
        </row>
        <row r="43">
          <cell r="A43">
            <v>215</v>
          </cell>
          <cell r="B43" t="str">
            <v>Health Permit_inc</v>
          </cell>
        </row>
        <row r="44">
          <cell r="A44">
            <v>220</v>
          </cell>
          <cell r="B44" t="str">
            <v>InsuranceOnBuildingContents</v>
          </cell>
        </row>
        <row r="45">
          <cell r="A45">
            <v>225</v>
          </cell>
          <cell r="B45" t="str">
            <v>InsuranceOnBuildingContents_inc</v>
          </cell>
        </row>
        <row r="46">
          <cell r="A46">
            <v>230</v>
          </cell>
          <cell r="B46" t="str">
            <v>InterestOnBankAccounts</v>
          </cell>
        </row>
        <row r="47">
          <cell r="A47">
            <v>235</v>
          </cell>
          <cell r="B47" t="str">
            <v>InterestOnBankAccounts_inc</v>
          </cell>
        </row>
        <row r="48">
          <cell r="A48">
            <v>240</v>
          </cell>
          <cell r="B48" t="str">
            <v>LCIF</v>
          </cell>
        </row>
        <row r="49">
          <cell r="A49">
            <v>245</v>
          </cell>
          <cell r="B49" t="str">
            <v>LCIF_inc</v>
          </cell>
        </row>
        <row r="50">
          <cell r="A50">
            <v>250</v>
          </cell>
          <cell r="B50" t="str">
            <v>LeavenworthActivityFee</v>
          </cell>
        </row>
        <row r="51">
          <cell r="A51">
            <v>255</v>
          </cell>
          <cell r="B51" t="str">
            <v>LeavenworthActivityFee_inc</v>
          </cell>
        </row>
        <row r="52">
          <cell r="A52">
            <v>260</v>
          </cell>
          <cell r="B52" t="str">
            <v>MEND</v>
          </cell>
        </row>
        <row r="53">
          <cell r="A53">
            <v>265</v>
          </cell>
          <cell r="B53" t="str">
            <v>MEND_inc</v>
          </cell>
        </row>
        <row r="54">
          <cell r="A54">
            <v>270</v>
          </cell>
          <cell r="B54" t="str">
            <v>MiscCommunitySupport</v>
          </cell>
        </row>
        <row r="55">
          <cell r="A55">
            <v>275</v>
          </cell>
          <cell r="B55" t="str">
            <v>MiscCommunitySupport_inc</v>
          </cell>
        </row>
        <row r="56">
          <cell r="A56">
            <v>280</v>
          </cell>
          <cell r="B56" t="str">
            <v>MountainMeadows</v>
          </cell>
        </row>
        <row r="57">
          <cell r="A57">
            <v>285</v>
          </cell>
          <cell r="B57" t="str">
            <v>MountainMeadows_inc</v>
          </cell>
        </row>
        <row r="58">
          <cell r="A58">
            <v>290</v>
          </cell>
          <cell r="B58" t="str">
            <v>PublicRelations</v>
          </cell>
        </row>
        <row r="59">
          <cell r="A59">
            <v>295</v>
          </cell>
          <cell r="B59" t="str">
            <v>PublicRelations_inc</v>
          </cell>
        </row>
        <row r="60">
          <cell r="A60">
            <v>300</v>
          </cell>
          <cell r="B60" t="str">
            <v>Scholarships</v>
          </cell>
        </row>
        <row r="61">
          <cell r="A61">
            <v>305</v>
          </cell>
          <cell r="B61" t="str">
            <v>Scholarships_inc</v>
          </cell>
        </row>
        <row r="62">
          <cell r="A62">
            <v>310</v>
          </cell>
          <cell r="B62" t="str">
            <v>SunshineCommittee</v>
          </cell>
        </row>
        <row r="63">
          <cell r="A63">
            <v>315</v>
          </cell>
          <cell r="B63" t="str">
            <v>SunshineCommittee_inc</v>
          </cell>
        </row>
        <row r="64">
          <cell r="A64">
            <v>320</v>
          </cell>
          <cell r="B64" t="str">
            <v>SwimTeamFundraiser (hot dogs)</v>
          </cell>
        </row>
        <row r="65">
          <cell r="A65">
            <v>325</v>
          </cell>
          <cell r="B65" t="str">
            <v>SwimTeamFundraiser (hot dogs)_inc</v>
          </cell>
        </row>
        <row r="66">
          <cell r="A66">
            <v>330</v>
          </cell>
          <cell r="B66" t="str">
            <v>VisionScreening</v>
          </cell>
        </row>
        <row r="67">
          <cell r="A67">
            <v>335</v>
          </cell>
          <cell r="B67" t="str">
            <v>VisionScreening_inc</v>
          </cell>
        </row>
        <row r="68">
          <cell r="A68">
            <v>340</v>
          </cell>
          <cell r="B68" t="str">
            <v>YouthExchange</v>
          </cell>
        </row>
        <row r="69">
          <cell r="A69">
            <v>345</v>
          </cell>
          <cell r="B69" t="str">
            <v>YouthExchange_inc</v>
          </cell>
        </row>
        <row r="70">
          <cell r="A70">
            <v>350</v>
          </cell>
          <cell r="B70" t="str">
            <v>YouthSports</v>
          </cell>
        </row>
        <row r="71">
          <cell r="A71">
            <v>355</v>
          </cell>
          <cell r="B71" t="str">
            <v>YouthSports_inc</v>
          </cell>
        </row>
        <row r="72">
          <cell r="A72">
            <v>360</v>
          </cell>
          <cell r="B72" t="str">
            <v>White Cane</v>
          </cell>
        </row>
        <row r="73">
          <cell r="A73">
            <v>365</v>
          </cell>
          <cell r="B73" t="str">
            <v>White Cane_inc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488C-D52C-7F4A-B8B3-E5790FCBF255}">
  <dimension ref="A1:J85"/>
  <sheetViews>
    <sheetView tabSelected="1" zoomScale="95" zoomScaleNormal="95" workbookViewId="0">
      <selection activeCell="H3" sqref="H3"/>
    </sheetView>
  </sheetViews>
  <sheetFormatPr baseColWidth="10" defaultRowHeight="16" x14ac:dyDescent="0.2"/>
  <cols>
    <col min="1" max="1" width="6" customWidth="1"/>
    <col min="2" max="2" width="12.33203125" style="5" customWidth="1"/>
    <col min="3" max="3" width="22" customWidth="1"/>
    <col min="4" max="5" width="9.5" style="4" customWidth="1"/>
    <col min="6" max="6" width="16.6640625" style="3" customWidth="1"/>
    <col min="7" max="7" width="16.6640625" style="2" customWidth="1"/>
    <col min="8" max="8" width="30.6640625" style="1" customWidth="1"/>
    <col min="9" max="9" width="14.5" customWidth="1"/>
  </cols>
  <sheetData>
    <row r="1" spans="1:10" s="5" customFormat="1" x14ac:dyDescent="0.2">
      <c r="A1" s="5" t="s">
        <v>54</v>
      </c>
      <c r="B1" s="8" t="s">
        <v>53</v>
      </c>
      <c r="C1" s="8" t="s">
        <v>52</v>
      </c>
      <c r="D1" s="8" t="s">
        <v>51</v>
      </c>
      <c r="E1" s="8" t="s">
        <v>50</v>
      </c>
      <c r="F1" s="12" t="s">
        <v>49</v>
      </c>
      <c r="G1" s="11" t="s">
        <v>48</v>
      </c>
      <c r="H1" s="8" t="s">
        <v>47</v>
      </c>
      <c r="J1" s="5" t="s">
        <v>12</v>
      </c>
    </row>
    <row r="2" spans="1:10" x14ac:dyDescent="0.2">
      <c r="A2">
        <v>1</v>
      </c>
      <c r="B2" s="8">
        <v>45474</v>
      </c>
      <c r="C2" s="7" t="s">
        <v>37</v>
      </c>
      <c r="D2" s="2">
        <v>4223</v>
      </c>
      <c r="E2" s="2">
        <f t="shared" ref="E2:E33" si="0">IF(D2=$J$1, 1, 0)</f>
        <v>0</v>
      </c>
      <c r="F2" s="3">
        <v>10.86</v>
      </c>
      <c r="G2" s="9">
        <v>60</v>
      </c>
      <c r="H2" s="6" t="str">
        <f>VLOOKUP(G2,[1]Resources!$A$2:$B$84,2,FALSE)</f>
        <v>Breakfast Jul-Sept 2024</v>
      </c>
    </row>
    <row r="3" spans="1:10" x14ac:dyDescent="0.2">
      <c r="A3">
        <f t="shared" ref="A3:A34" si="1">A2+1</f>
        <v>2</v>
      </c>
      <c r="B3" s="10">
        <v>45488</v>
      </c>
      <c r="C3" t="s">
        <v>46</v>
      </c>
      <c r="D3" s="4" t="s">
        <v>12</v>
      </c>
      <c r="E3" s="2">
        <f t="shared" si="0"/>
        <v>1</v>
      </c>
      <c r="F3" s="3">
        <v>59.88</v>
      </c>
      <c r="G3" s="4">
        <v>85</v>
      </c>
      <c r="H3" s="6" t="str">
        <f>VLOOKUP(G3,[1]Resources!$A$2:$B$84,2,FALSE)</f>
        <v>Building Rental_inc</v>
      </c>
    </row>
    <row r="4" spans="1:10" x14ac:dyDescent="0.2">
      <c r="A4">
        <f t="shared" si="1"/>
        <v>3</v>
      </c>
      <c r="B4" s="8">
        <v>45485</v>
      </c>
      <c r="C4" s="7" t="s">
        <v>40</v>
      </c>
      <c r="D4" s="2" t="s">
        <v>12</v>
      </c>
      <c r="E4" s="2">
        <f t="shared" si="0"/>
        <v>1</v>
      </c>
      <c r="F4" s="3">
        <v>1256.93</v>
      </c>
      <c r="G4" s="9">
        <v>65</v>
      </c>
      <c r="H4" s="6" t="str">
        <f>VLOOKUP(G4,[1]Resources!$A$2:$B$84,2,FALSE)</f>
        <v>Breakfast Jul-Sept 2025_inc</v>
      </c>
    </row>
    <row r="5" spans="1:10" x14ac:dyDescent="0.2">
      <c r="A5">
        <f t="shared" si="1"/>
        <v>4</v>
      </c>
      <c r="B5" s="8">
        <v>45492</v>
      </c>
      <c r="C5" s="7" t="s">
        <v>20</v>
      </c>
      <c r="D5" s="2">
        <v>4224</v>
      </c>
      <c r="E5" s="2">
        <f t="shared" si="0"/>
        <v>0</v>
      </c>
      <c r="F5" s="3">
        <v>327.95</v>
      </c>
      <c r="G5" s="9">
        <v>320</v>
      </c>
      <c r="H5" s="6" t="str">
        <f>VLOOKUP(G5,[1]Resources!$A$2:$B$84,2,FALSE)</f>
        <v>SwimTeamFundraiser (hot dogs)</v>
      </c>
    </row>
    <row r="6" spans="1:10" x14ac:dyDescent="0.2">
      <c r="A6">
        <f t="shared" si="1"/>
        <v>5</v>
      </c>
      <c r="B6" s="8">
        <v>45492</v>
      </c>
      <c r="C6" s="7" t="s">
        <v>45</v>
      </c>
      <c r="D6" s="2" t="s">
        <v>12</v>
      </c>
      <c r="E6" s="2">
        <f t="shared" si="0"/>
        <v>1</v>
      </c>
      <c r="F6" s="3">
        <v>587.75</v>
      </c>
      <c r="G6" s="9">
        <v>325</v>
      </c>
      <c r="H6" s="6" t="str">
        <f>VLOOKUP(G6,[1]Resources!$A$2:$B$84,2,FALSE)</f>
        <v>SwimTeamFundraiser (hot dogs)_inc</v>
      </c>
    </row>
    <row r="7" spans="1:10" x14ac:dyDescent="0.2">
      <c r="A7">
        <f t="shared" si="1"/>
        <v>6</v>
      </c>
      <c r="B7" s="8">
        <v>45503</v>
      </c>
      <c r="C7" s="7" t="s">
        <v>32</v>
      </c>
      <c r="D7" s="2">
        <v>4225</v>
      </c>
      <c r="E7" s="2">
        <f t="shared" si="0"/>
        <v>0</v>
      </c>
      <c r="F7" s="3">
        <v>142.80000000000001</v>
      </c>
      <c r="G7" s="9">
        <v>60</v>
      </c>
      <c r="H7" s="6" t="str">
        <f>VLOOKUP(G7,[1]Resources!$A$2:$B$84,2,FALSE)</f>
        <v>Breakfast Jul-Sept 2024</v>
      </c>
    </row>
    <row r="8" spans="1:10" x14ac:dyDescent="0.2">
      <c r="A8">
        <f t="shared" si="1"/>
        <v>7</v>
      </c>
      <c r="B8" s="8">
        <v>45503</v>
      </c>
      <c r="C8" s="7" t="s">
        <v>40</v>
      </c>
      <c r="D8" s="2" t="s">
        <v>12</v>
      </c>
      <c r="E8" s="2">
        <f t="shared" si="0"/>
        <v>1</v>
      </c>
      <c r="F8" s="3">
        <v>1765</v>
      </c>
      <c r="G8" s="9">
        <v>65</v>
      </c>
      <c r="H8" s="6" t="str">
        <f>VLOOKUP(G8,[1]Resources!$A$2:$B$84,2,FALSE)</f>
        <v>Breakfast Jul-Sept 2025_inc</v>
      </c>
    </row>
    <row r="9" spans="1:10" x14ac:dyDescent="0.2">
      <c r="A9">
        <f t="shared" si="1"/>
        <v>8</v>
      </c>
      <c r="B9" s="8">
        <v>45504</v>
      </c>
      <c r="C9" s="7" t="s">
        <v>14</v>
      </c>
      <c r="D9" s="2" t="s">
        <v>12</v>
      </c>
      <c r="E9" s="2">
        <f t="shared" si="0"/>
        <v>1</v>
      </c>
      <c r="F9" s="3">
        <v>0.28999999999999998</v>
      </c>
      <c r="G9" s="9">
        <v>235</v>
      </c>
      <c r="H9" s="6" t="str">
        <f>VLOOKUP(G9,[1]Resources!$A$2:$B$84,2,FALSE)</f>
        <v>InterestOnBankAccounts_inc</v>
      </c>
    </row>
    <row r="10" spans="1:10" x14ac:dyDescent="0.2">
      <c r="A10">
        <f t="shared" si="1"/>
        <v>9</v>
      </c>
      <c r="B10" s="8">
        <v>45516</v>
      </c>
      <c r="C10" s="7" t="s">
        <v>40</v>
      </c>
      <c r="D10" s="2" t="s">
        <v>12</v>
      </c>
      <c r="E10" s="2">
        <f t="shared" si="0"/>
        <v>1</v>
      </c>
      <c r="F10" s="3">
        <v>1644.75</v>
      </c>
      <c r="G10" s="9">
        <v>65</v>
      </c>
      <c r="H10" s="6" t="str">
        <f>VLOOKUP(G10,[1]Resources!$A$2:$B$84,2,FALSE)</f>
        <v>Breakfast Jul-Sept 2025_inc</v>
      </c>
    </row>
    <row r="11" spans="1:10" x14ac:dyDescent="0.2">
      <c r="A11">
        <f t="shared" si="1"/>
        <v>10</v>
      </c>
      <c r="B11" s="8">
        <v>45519</v>
      </c>
      <c r="C11" s="7" t="s">
        <v>37</v>
      </c>
      <c r="D11" s="2">
        <v>4226</v>
      </c>
      <c r="E11" s="2">
        <f t="shared" si="0"/>
        <v>0</v>
      </c>
      <c r="F11" s="3">
        <v>207.23</v>
      </c>
      <c r="G11" s="9">
        <v>60</v>
      </c>
      <c r="H11" s="6" t="str">
        <f>VLOOKUP(G11,[1]Resources!$A$2:$B$84,2,FALSE)</f>
        <v>Breakfast Jul-Sept 2024</v>
      </c>
    </row>
    <row r="12" spans="1:10" x14ac:dyDescent="0.2">
      <c r="A12">
        <f t="shared" si="1"/>
        <v>11</v>
      </c>
      <c r="B12" s="8">
        <v>45523</v>
      </c>
      <c r="C12" s="7" t="s">
        <v>44</v>
      </c>
      <c r="D12" s="2">
        <v>4228</v>
      </c>
      <c r="E12" s="2">
        <f t="shared" si="0"/>
        <v>0</v>
      </c>
      <c r="F12" s="3">
        <v>1000</v>
      </c>
      <c r="G12" s="9">
        <v>300</v>
      </c>
      <c r="H12" s="6" t="str">
        <f>VLOOKUP(G12,[1]Resources!$A$2:$B$84,2,FALSE)</f>
        <v>Scholarships</v>
      </c>
    </row>
    <row r="13" spans="1:10" x14ac:dyDescent="0.2">
      <c r="A13">
        <f t="shared" si="1"/>
        <v>12</v>
      </c>
      <c r="B13" s="8">
        <v>45884</v>
      </c>
      <c r="C13" s="7" t="s">
        <v>32</v>
      </c>
      <c r="D13" s="2">
        <v>4227</v>
      </c>
      <c r="E13" s="2">
        <f t="shared" si="0"/>
        <v>0</v>
      </c>
      <c r="F13" s="3">
        <v>128.53</v>
      </c>
      <c r="G13" s="9">
        <v>60</v>
      </c>
      <c r="H13" s="6" t="str">
        <f>VLOOKUP(G13,[1]Resources!$A$2:$B$84,2,FALSE)</f>
        <v>Breakfast Jul-Sept 2024</v>
      </c>
    </row>
    <row r="14" spans="1:10" x14ac:dyDescent="0.2">
      <c r="A14">
        <f t="shared" si="1"/>
        <v>13</v>
      </c>
      <c r="B14" s="8">
        <v>45891</v>
      </c>
      <c r="C14" s="7" t="s">
        <v>43</v>
      </c>
      <c r="D14" s="2">
        <v>4229</v>
      </c>
      <c r="E14" s="2">
        <f t="shared" si="0"/>
        <v>0</v>
      </c>
      <c r="F14" s="3">
        <v>1000</v>
      </c>
      <c r="G14" s="9">
        <v>300</v>
      </c>
      <c r="H14" s="6" t="str">
        <f>VLOOKUP(G14,[1]Resources!$A$2:$B$84,2,FALSE)</f>
        <v>Scholarships</v>
      </c>
    </row>
    <row r="15" spans="1:10" x14ac:dyDescent="0.2">
      <c r="A15">
        <f t="shared" si="1"/>
        <v>14</v>
      </c>
      <c r="B15" s="8">
        <v>45530</v>
      </c>
      <c r="C15" s="7" t="s">
        <v>40</v>
      </c>
      <c r="D15" s="2" t="s">
        <v>12</v>
      </c>
      <c r="E15" s="2">
        <f t="shared" si="0"/>
        <v>1</v>
      </c>
      <c r="F15" s="3">
        <v>604</v>
      </c>
      <c r="G15" s="9">
        <v>65</v>
      </c>
      <c r="H15" s="6" t="str">
        <f>VLOOKUP(G15,[1]Resources!$A$2:$B$84,2,FALSE)</f>
        <v>Breakfast Jul-Sept 2025_inc</v>
      </c>
    </row>
    <row r="16" spans="1:10" x14ac:dyDescent="0.2">
      <c r="A16">
        <f t="shared" si="1"/>
        <v>15</v>
      </c>
      <c r="B16" s="8">
        <v>45530</v>
      </c>
      <c r="C16" s="7" t="s">
        <v>40</v>
      </c>
      <c r="D16" s="2" t="s">
        <v>12</v>
      </c>
      <c r="E16" s="2">
        <f t="shared" si="0"/>
        <v>1</v>
      </c>
      <c r="F16" s="3">
        <v>1763</v>
      </c>
      <c r="G16" s="9">
        <v>65</v>
      </c>
      <c r="H16" s="6" t="str">
        <f>VLOOKUP(G16,[1]Resources!$A$2:$B$84,2,FALSE)</f>
        <v>Breakfast Jul-Sept 2025_inc</v>
      </c>
    </row>
    <row r="17" spans="1:8" x14ac:dyDescent="0.2">
      <c r="A17">
        <f t="shared" si="1"/>
        <v>16</v>
      </c>
      <c r="B17" s="8">
        <v>45532</v>
      </c>
      <c r="C17" s="7" t="s">
        <v>42</v>
      </c>
      <c r="D17" s="2">
        <v>4230</v>
      </c>
      <c r="E17" s="2">
        <f t="shared" si="0"/>
        <v>0</v>
      </c>
      <c r="F17" s="3">
        <v>48</v>
      </c>
      <c r="G17" s="9">
        <v>320</v>
      </c>
      <c r="H17" s="6" t="str">
        <f>VLOOKUP(G17,[1]Resources!$A$2:$B$84,2,FALSE)</f>
        <v>SwimTeamFundraiser (hot dogs)</v>
      </c>
    </row>
    <row r="18" spans="1:8" x14ac:dyDescent="0.2">
      <c r="A18">
        <f t="shared" si="1"/>
        <v>17</v>
      </c>
      <c r="B18" s="8">
        <v>45535</v>
      </c>
      <c r="C18" s="7" t="s">
        <v>14</v>
      </c>
      <c r="D18" s="2" t="s">
        <v>12</v>
      </c>
      <c r="E18" s="2">
        <f t="shared" si="0"/>
        <v>1</v>
      </c>
      <c r="F18" s="3">
        <v>0.33</v>
      </c>
      <c r="G18" s="9">
        <v>235</v>
      </c>
      <c r="H18" s="6" t="str">
        <f>VLOOKUP(G18,[1]Resources!$A$2:$B$84,2,FALSE)</f>
        <v>InterestOnBankAccounts_inc</v>
      </c>
    </row>
    <row r="19" spans="1:8" x14ac:dyDescent="0.2">
      <c r="A19">
        <f t="shared" si="1"/>
        <v>18</v>
      </c>
      <c r="B19" s="8">
        <v>45547</v>
      </c>
      <c r="C19" s="7" t="s">
        <v>40</v>
      </c>
      <c r="D19" s="2" t="s">
        <v>12</v>
      </c>
      <c r="E19" s="2">
        <f t="shared" si="0"/>
        <v>1</v>
      </c>
      <c r="F19" s="3">
        <v>931</v>
      </c>
      <c r="G19" s="9">
        <v>65</v>
      </c>
      <c r="H19" s="6" t="str">
        <f>VLOOKUP(G19,[1]Resources!$A$2:$B$84,2,FALSE)</f>
        <v>Breakfast Jul-Sept 2025_inc</v>
      </c>
    </row>
    <row r="20" spans="1:8" x14ac:dyDescent="0.2">
      <c r="A20">
        <f t="shared" si="1"/>
        <v>19</v>
      </c>
      <c r="B20" s="8">
        <v>45547</v>
      </c>
      <c r="C20" s="7" t="s">
        <v>21</v>
      </c>
      <c r="D20" s="2" t="s">
        <v>12</v>
      </c>
      <c r="E20" s="2">
        <f t="shared" si="0"/>
        <v>1</v>
      </c>
      <c r="F20" s="3">
        <v>105</v>
      </c>
      <c r="G20" s="9">
        <v>185</v>
      </c>
      <c r="H20" s="6" t="str">
        <f>VLOOKUP(G20,[1]Resources!$A$2:$B$84,2,FALSE)</f>
        <v>Donations_inc</v>
      </c>
    </row>
    <row r="21" spans="1:8" x14ac:dyDescent="0.2">
      <c r="A21">
        <f t="shared" si="1"/>
        <v>20</v>
      </c>
      <c r="B21" s="8">
        <v>45553</v>
      </c>
      <c r="C21" s="7" t="s">
        <v>41</v>
      </c>
      <c r="D21" s="2" t="s">
        <v>12</v>
      </c>
      <c r="E21" s="2">
        <f t="shared" si="0"/>
        <v>1</v>
      </c>
      <c r="F21" s="3">
        <v>1000</v>
      </c>
      <c r="G21" s="9">
        <v>345</v>
      </c>
      <c r="H21" s="6" t="str">
        <f>VLOOKUP(G21,[1]Resources!$A$2:$B$84,2,FALSE)</f>
        <v>YouthExchange_inc</v>
      </c>
    </row>
    <row r="22" spans="1:8" x14ac:dyDescent="0.2">
      <c r="A22">
        <f t="shared" si="1"/>
        <v>21</v>
      </c>
      <c r="B22" s="8">
        <v>45553</v>
      </c>
      <c r="C22" s="7" t="s">
        <v>40</v>
      </c>
      <c r="D22" s="2" t="s">
        <v>12</v>
      </c>
      <c r="E22" s="2">
        <f t="shared" si="0"/>
        <v>1</v>
      </c>
      <c r="F22" s="3">
        <f>1180.7-95</f>
        <v>1085.7</v>
      </c>
      <c r="G22" s="9">
        <v>65</v>
      </c>
      <c r="H22" s="6" t="str">
        <f>VLOOKUP(G22,[1]Resources!$A$2:$B$84,2,FALSE)</f>
        <v>Breakfast Jul-Sept 2025_inc</v>
      </c>
    </row>
    <row r="23" spans="1:8" x14ac:dyDescent="0.2">
      <c r="A23">
        <f t="shared" si="1"/>
        <v>22</v>
      </c>
      <c r="B23" s="8">
        <v>45553</v>
      </c>
      <c r="C23" s="7" t="s">
        <v>39</v>
      </c>
      <c r="D23" s="2" t="s">
        <v>12</v>
      </c>
      <c r="E23" s="2">
        <f t="shared" si="0"/>
        <v>1</v>
      </c>
      <c r="F23" s="3">
        <v>95</v>
      </c>
      <c r="G23" s="9">
        <v>185</v>
      </c>
      <c r="H23" s="6" t="str">
        <f>VLOOKUP(G23,[1]Resources!$A$2:$B$84,2,FALSE)</f>
        <v>Donations_inc</v>
      </c>
    </row>
    <row r="24" spans="1:8" x14ac:dyDescent="0.2">
      <c r="A24">
        <f t="shared" si="1"/>
        <v>23</v>
      </c>
      <c r="B24" s="8">
        <v>45560</v>
      </c>
      <c r="C24" s="7" t="s">
        <v>0</v>
      </c>
      <c r="D24" s="2">
        <v>4233</v>
      </c>
      <c r="E24" s="2">
        <f t="shared" si="0"/>
        <v>0</v>
      </c>
      <c r="F24" s="3">
        <v>7.98</v>
      </c>
      <c r="G24" s="9">
        <v>60</v>
      </c>
      <c r="H24" s="6" t="str">
        <f>VLOOKUP(G24,[1]Resources!$A$2:$B$84,2,FALSE)</f>
        <v>Breakfast Jul-Sept 2024</v>
      </c>
    </row>
    <row r="25" spans="1:8" x14ac:dyDescent="0.2">
      <c r="A25">
        <f t="shared" si="1"/>
        <v>24</v>
      </c>
      <c r="B25" s="8">
        <v>45561</v>
      </c>
      <c r="C25" s="7" t="s">
        <v>38</v>
      </c>
      <c r="D25" s="2" t="s">
        <v>12</v>
      </c>
      <c r="E25" s="2">
        <f t="shared" si="0"/>
        <v>1</v>
      </c>
      <c r="F25" s="3">
        <v>395.44</v>
      </c>
      <c r="G25" s="9">
        <v>185</v>
      </c>
      <c r="H25" s="6" t="str">
        <f>VLOOKUP(G25,[1]Resources!$A$2:$B$84,2,FALSE)</f>
        <v>Donations_inc</v>
      </c>
    </row>
    <row r="26" spans="1:8" x14ac:dyDescent="0.2">
      <c r="A26">
        <f t="shared" si="1"/>
        <v>25</v>
      </c>
      <c r="B26" s="8">
        <v>45561</v>
      </c>
      <c r="C26" s="7" t="s">
        <v>37</v>
      </c>
      <c r="D26" s="2">
        <v>4231</v>
      </c>
      <c r="E26" s="2">
        <f t="shared" si="0"/>
        <v>0</v>
      </c>
      <c r="F26" s="3">
        <v>59.63</v>
      </c>
      <c r="G26" s="9">
        <v>60</v>
      </c>
      <c r="H26" s="6" t="str">
        <f>VLOOKUP(G26,[1]Resources!$A$2:$B$84,2,FALSE)</f>
        <v>Breakfast Jul-Sept 2024</v>
      </c>
    </row>
    <row r="27" spans="1:8" x14ac:dyDescent="0.2">
      <c r="A27">
        <f t="shared" si="1"/>
        <v>26</v>
      </c>
      <c r="B27" s="8">
        <v>45561</v>
      </c>
      <c r="C27" s="7" t="s">
        <v>36</v>
      </c>
      <c r="D27" s="2" t="s">
        <v>12</v>
      </c>
      <c r="E27" s="2">
        <f t="shared" si="0"/>
        <v>1</v>
      </c>
      <c r="F27" s="3">
        <v>900</v>
      </c>
      <c r="G27" s="9">
        <v>275</v>
      </c>
      <c r="H27" s="6" t="str">
        <f>VLOOKUP(G27,[1]Resources!$A$2:$B$84,2,FALSE)</f>
        <v>MiscCommunitySupport_inc</v>
      </c>
    </row>
    <row r="28" spans="1:8" x14ac:dyDescent="0.2">
      <c r="A28">
        <f t="shared" si="1"/>
        <v>27</v>
      </c>
      <c r="B28" s="8">
        <v>45561</v>
      </c>
      <c r="C28" s="7" t="s">
        <v>35</v>
      </c>
      <c r="D28" s="2">
        <v>4232</v>
      </c>
      <c r="E28" s="2">
        <f t="shared" si="0"/>
        <v>0</v>
      </c>
      <c r="F28" s="3">
        <v>1000</v>
      </c>
      <c r="G28" s="9">
        <v>160</v>
      </c>
      <c r="H28" s="6" t="str">
        <f>VLOOKUP(G28,[1]Resources!$A$2:$B$84,2,FALSE)</f>
        <v>CreechScholarship</v>
      </c>
    </row>
    <row r="29" spans="1:8" x14ac:dyDescent="0.2">
      <c r="A29">
        <f t="shared" si="1"/>
        <v>28</v>
      </c>
      <c r="B29" s="8">
        <v>45565</v>
      </c>
      <c r="C29" s="7" t="s">
        <v>14</v>
      </c>
      <c r="D29" s="2" t="s">
        <v>12</v>
      </c>
      <c r="E29" s="2">
        <f t="shared" si="0"/>
        <v>1</v>
      </c>
      <c r="F29" s="3">
        <v>0.28000000000000003</v>
      </c>
      <c r="G29" s="9">
        <v>235</v>
      </c>
      <c r="H29" s="6" t="str">
        <f>VLOOKUP(G29,[1]Resources!$A$2:$B$84,2,FALSE)</f>
        <v>InterestOnBankAccounts_inc</v>
      </c>
    </row>
    <row r="30" spans="1:8" x14ac:dyDescent="0.2">
      <c r="A30">
        <f t="shared" si="1"/>
        <v>29</v>
      </c>
      <c r="B30" s="8">
        <v>45572</v>
      </c>
      <c r="C30" s="7" t="s">
        <v>34</v>
      </c>
      <c r="D30" s="2">
        <v>4235</v>
      </c>
      <c r="E30" s="2">
        <f t="shared" si="0"/>
        <v>0</v>
      </c>
      <c r="F30" s="3">
        <v>55</v>
      </c>
      <c r="G30" s="9">
        <v>60</v>
      </c>
      <c r="H30" s="6" t="str">
        <f>VLOOKUP(G30,[1]Resources!$A$2:$B$84,2,FALSE)</f>
        <v>Breakfast Jul-Sept 2024</v>
      </c>
    </row>
    <row r="31" spans="1:8" x14ac:dyDescent="0.2">
      <c r="A31">
        <f t="shared" si="1"/>
        <v>30</v>
      </c>
      <c r="B31" s="8">
        <v>45572</v>
      </c>
      <c r="C31" s="7" t="s">
        <v>32</v>
      </c>
      <c r="D31" s="2">
        <v>4234</v>
      </c>
      <c r="E31" s="2">
        <f t="shared" si="0"/>
        <v>0</v>
      </c>
      <c r="F31" s="3">
        <v>636.55999999999995</v>
      </c>
      <c r="G31" s="9">
        <v>60</v>
      </c>
      <c r="H31" s="6" t="str">
        <f>VLOOKUP(G31,[1]Resources!$A$2:$B$84,2,FALSE)</f>
        <v>Breakfast Jul-Sept 2024</v>
      </c>
    </row>
    <row r="32" spans="1:8" x14ac:dyDescent="0.2">
      <c r="A32">
        <f t="shared" si="1"/>
        <v>31</v>
      </c>
      <c r="B32" s="8">
        <v>45574</v>
      </c>
      <c r="C32" s="7" t="s">
        <v>33</v>
      </c>
      <c r="D32" s="2" t="s">
        <v>12</v>
      </c>
      <c r="E32" s="2">
        <f t="shared" si="0"/>
        <v>1</v>
      </c>
      <c r="F32" s="3">
        <v>300</v>
      </c>
      <c r="G32" s="9">
        <v>275</v>
      </c>
      <c r="H32" s="6" t="str">
        <f>VLOOKUP(G32,[1]Resources!$A$2:$B$84,2,FALSE)</f>
        <v>MiscCommunitySupport_inc</v>
      </c>
    </row>
    <row r="33" spans="1:8" x14ac:dyDescent="0.2">
      <c r="A33">
        <f t="shared" si="1"/>
        <v>32</v>
      </c>
      <c r="B33" s="8">
        <v>45574</v>
      </c>
      <c r="C33" s="7" t="s">
        <v>24</v>
      </c>
      <c r="D33" s="2" t="s">
        <v>12</v>
      </c>
      <c r="E33" s="2">
        <f t="shared" si="0"/>
        <v>1</v>
      </c>
      <c r="F33" s="3">
        <v>2665</v>
      </c>
      <c r="G33" s="9">
        <v>35</v>
      </c>
      <c r="H33" s="6" t="str">
        <f>VLOOKUP(G33,[1]Resources!$A$2:$B$84,2,FALSE)</f>
        <v>AmbassadorSummer_inc</v>
      </c>
    </row>
    <row r="34" spans="1:8" x14ac:dyDescent="0.2">
      <c r="A34">
        <f t="shared" si="1"/>
        <v>33</v>
      </c>
      <c r="B34" s="8">
        <v>45576</v>
      </c>
      <c r="C34" s="7" t="s">
        <v>11</v>
      </c>
      <c r="D34" s="2">
        <v>4239</v>
      </c>
      <c r="E34" s="2">
        <f t="shared" ref="E34:E65" si="2">IF(D34=$J$1, 1, 0)</f>
        <v>0</v>
      </c>
      <c r="F34" s="3">
        <v>1328</v>
      </c>
      <c r="G34" s="9">
        <v>30</v>
      </c>
      <c r="H34" s="6" t="str">
        <f>VLOOKUP(G34,[1]Resources!$A$2:$B$84,2,FALSE)</f>
        <v>AmbassadorSummer</v>
      </c>
    </row>
    <row r="35" spans="1:8" x14ac:dyDescent="0.2">
      <c r="A35">
        <f t="shared" ref="A35:A66" si="3">A34+1</f>
        <v>34</v>
      </c>
      <c r="B35" s="8">
        <v>45580</v>
      </c>
      <c r="C35" s="7" t="s">
        <v>18</v>
      </c>
      <c r="D35" s="2">
        <v>4236</v>
      </c>
      <c r="E35" s="2">
        <f t="shared" si="2"/>
        <v>0</v>
      </c>
      <c r="F35" s="3">
        <v>137.5</v>
      </c>
      <c r="G35" s="9">
        <v>200</v>
      </c>
      <c r="H35" s="6" t="str">
        <f>VLOOKUP(G35,[1]Resources!$A$2:$B$84,2,FALSE)</f>
        <v>EyeGlasses &amp; HearingAids</v>
      </c>
    </row>
    <row r="36" spans="1:8" x14ac:dyDescent="0.2">
      <c r="A36">
        <f t="shared" si="3"/>
        <v>35</v>
      </c>
      <c r="B36" s="8">
        <v>45582</v>
      </c>
      <c r="C36" s="7" t="s">
        <v>32</v>
      </c>
      <c r="D36" s="2">
        <v>4238</v>
      </c>
      <c r="E36" s="2">
        <f t="shared" si="2"/>
        <v>0</v>
      </c>
      <c r="F36" s="3">
        <v>92.98</v>
      </c>
      <c r="G36" s="9">
        <v>60</v>
      </c>
      <c r="H36" s="6" t="str">
        <f>VLOOKUP(G36,[1]Resources!$A$2:$B$84,2,FALSE)</f>
        <v>Breakfast Jul-Sept 2024</v>
      </c>
    </row>
    <row r="37" spans="1:8" x14ac:dyDescent="0.2">
      <c r="A37">
        <f t="shared" si="3"/>
        <v>36</v>
      </c>
      <c r="B37" s="8">
        <v>45589</v>
      </c>
      <c r="C37" s="7" t="s">
        <v>31</v>
      </c>
      <c r="D37" s="2">
        <v>4237</v>
      </c>
      <c r="E37" s="2">
        <f t="shared" si="2"/>
        <v>0</v>
      </c>
      <c r="F37" s="3">
        <v>295</v>
      </c>
      <c r="G37" s="9">
        <v>330</v>
      </c>
      <c r="H37" s="6" t="str">
        <f>VLOOKUP(G37,[1]Resources!$A$2:$B$84,2,FALSE)</f>
        <v>VisionScreening</v>
      </c>
    </row>
    <row r="38" spans="1:8" x14ac:dyDescent="0.2">
      <c r="A38">
        <f t="shared" si="3"/>
        <v>37</v>
      </c>
      <c r="B38" s="8">
        <v>45595</v>
      </c>
      <c r="C38" s="7" t="s">
        <v>7</v>
      </c>
      <c r="D38" s="2">
        <v>0</v>
      </c>
      <c r="E38" s="2">
        <f t="shared" si="2"/>
        <v>0</v>
      </c>
      <c r="F38" s="3">
        <v>177.79</v>
      </c>
      <c r="G38" s="9">
        <v>270</v>
      </c>
      <c r="H38" s="6" t="str">
        <f>VLOOKUP(G38,[1]Resources!$A$2:$B$84,2,FALSE)</f>
        <v>MiscCommunitySupport</v>
      </c>
    </row>
    <row r="39" spans="1:8" x14ac:dyDescent="0.2">
      <c r="A39">
        <f t="shared" si="3"/>
        <v>38</v>
      </c>
      <c r="B39" s="8">
        <v>45596</v>
      </c>
      <c r="C39" s="7" t="s">
        <v>14</v>
      </c>
      <c r="D39" s="2" t="s">
        <v>12</v>
      </c>
      <c r="E39" s="2">
        <f t="shared" si="2"/>
        <v>1</v>
      </c>
      <c r="F39" s="3">
        <v>0.34</v>
      </c>
      <c r="G39" s="9">
        <v>235</v>
      </c>
      <c r="H39" s="6" t="str">
        <f>VLOOKUP(G39,[1]Resources!$A$2:$B$84,2,FALSE)</f>
        <v>InterestOnBankAccounts_inc</v>
      </c>
    </row>
    <row r="40" spans="1:8" x14ac:dyDescent="0.2">
      <c r="A40">
        <f t="shared" si="3"/>
        <v>39</v>
      </c>
      <c r="B40" s="8">
        <v>45600</v>
      </c>
      <c r="C40" s="7" t="s">
        <v>30</v>
      </c>
      <c r="D40" s="2">
        <v>4240</v>
      </c>
      <c r="E40" s="2">
        <f t="shared" si="2"/>
        <v>0</v>
      </c>
      <c r="F40" s="3">
        <v>2000</v>
      </c>
      <c r="G40" s="9">
        <v>240</v>
      </c>
      <c r="H40" s="6" t="str">
        <f>VLOOKUP(G40,[1]Resources!$A$2:$B$84,2,FALSE)</f>
        <v>LCIF</v>
      </c>
    </row>
    <row r="41" spans="1:8" x14ac:dyDescent="0.2">
      <c r="A41">
        <f t="shared" si="3"/>
        <v>40</v>
      </c>
      <c r="B41" s="8">
        <v>45621</v>
      </c>
      <c r="C41" s="7" t="s">
        <v>29</v>
      </c>
      <c r="D41" s="2" t="s">
        <v>12</v>
      </c>
      <c r="E41" s="2">
        <f t="shared" si="2"/>
        <v>1</v>
      </c>
      <c r="F41" s="3">
        <v>85</v>
      </c>
      <c r="G41" s="9">
        <v>155</v>
      </c>
      <c r="H41" s="6" t="str">
        <f>VLOOKUP(G41,[1]Resources!$A$2:$B$84,2,FALSE)</f>
        <v>Clothing4Kids_inc</v>
      </c>
    </row>
    <row r="42" spans="1:8" x14ac:dyDescent="0.2">
      <c r="A42">
        <f t="shared" si="3"/>
        <v>41</v>
      </c>
      <c r="B42" s="8">
        <v>45622</v>
      </c>
      <c r="C42" s="7" t="s">
        <v>19</v>
      </c>
      <c r="D42" s="2">
        <v>4243</v>
      </c>
      <c r="E42" s="2">
        <f t="shared" si="2"/>
        <v>0</v>
      </c>
      <c r="F42" s="3">
        <v>500</v>
      </c>
      <c r="G42" s="9">
        <v>260</v>
      </c>
      <c r="H42" s="6" t="str">
        <f>VLOOKUP(G42,[1]Resources!$A$2:$B$84,2,FALSE)</f>
        <v>MEND</v>
      </c>
    </row>
    <row r="43" spans="1:8" x14ac:dyDescent="0.2">
      <c r="A43">
        <f t="shared" si="3"/>
        <v>42</v>
      </c>
      <c r="B43" s="8">
        <v>45623</v>
      </c>
      <c r="C43" s="7" t="s">
        <v>5</v>
      </c>
      <c r="D43" s="2">
        <v>4242</v>
      </c>
      <c r="E43" s="2">
        <f t="shared" si="2"/>
        <v>0</v>
      </c>
      <c r="F43" s="3">
        <v>111.19</v>
      </c>
      <c r="G43" s="9">
        <v>150</v>
      </c>
      <c r="H43" s="6" t="str">
        <f>VLOOKUP(G43,[1]Resources!$A$2:$B$84,2,FALSE)</f>
        <v>Clothing4Kids</v>
      </c>
    </row>
    <row r="44" spans="1:8" x14ac:dyDescent="0.2">
      <c r="A44">
        <f t="shared" si="3"/>
        <v>43</v>
      </c>
      <c r="B44" s="8">
        <v>45627</v>
      </c>
      <c r="C44" s="7" t="s">
        <v>14</v>
      </c>
      <c r="D44" s="2" t="s">
        <v>12</v>
      </c>
      <c r="E44" s="2">
        <f t="shared" si="2"/>
        <v>1</v>
      </c>
      <c r="F44" s="3">
        <v>0.33</v>
      </c>
      <c r="G44" s="9">
        <v>235</v>
      </c>
      <c r="H44" s="6" t="str">
        <f>VLOOKUP(G44,[1]Resources!$A$2:$B$84,2,FALSE)</f>
        <v>InterestOnBankAccounts_inc</v>
      </c>
    </row>
    <row r="45" spans="1:8" x14ac:dyDescent="0.2">
      <c r="A45">
        <f t="shared" si="3"/>
        <v>44</v>
      </c>
      <c r="B45" s="8">
        <v>45630</v>
      </c>
      <c r="C45" s="7" t="s">
        <v>28</v>
      </c>
      <c r="D45" s="2" t="s">
        <v>12</v>
      </c>
      <c r="E45" s="2">
        <f t="shared" si="2"/>
        <v>1</v>
      </c>
      <c r="F45" s="3">
        <v>427.5</v>
      </c>
      <c r="G45" s="9">
        <v>275</v>
      </c>
      <c r="H45" s="6" t="str">
        <f>VLOOKUP(G45,[1]Resources!$A$2:$B$84,2,FALSE)</f>
        <v>MiscCommunitySupport_inc</v>
      </c>
    </row>
    <row r="46" spans="1:8" x14ac:dyDescent="0.2">
      <c r="A46">
        <f t="shared" si="3"/>
        <v>45</v>
      </c>
      <c r="B46" s="8">
        <v>45630</v>
      </c>
      <c r="C46" s="7" t="s">
        <v>2</v>
      </c>
      <c r="D46" s="2">
        <v>4245</v>
      </c>
      <c r="E46" s="2">
        <f t="shared" si="2"/>
        <v>0</v>
      </c>
      <c r="F46" s="3">
        <v>750</v>
      </c>
      <c r="G46" s="9">
        <v>120</v>
      </c>
      <c r="H46" s="6" t="str">
        <f>VLOOKUP(G46,[1]Resources!$A$2:$B$84,2,FALSE)</f>
        <v>CasscadeMedicalFoundation</v>
      </c>
    </row>
    <row r="47" spans="1:8" x14ac:dyDescent="0.2">
      <c r="A47">
        <f t="shared" si="3"/>
        <v>46</v>
      </c>
      <c r="B47" s="8">
        <v>45632</v>
      </c>
      <c r="C47" s="7" t="s">
        <v>27</v>
      </c>
      <c r="D47" s="2">
        <v>4241</v>
      </c>
      <c r="E47" s="2">
        <f t="shared" si="2"/>
        <v>0</v>
      </c>
      <c r="F47" s="3">
        <v>48.69</v>
      </c>
      <c r="G47" s="9">
        <v>150</v>
      </c>
      <c r="H47" s="6" t="str">
        <f>VLOOKUP(G47,[1]Resources!$A$2:$B$84,2,FALSE)</f>
        <v>Clothing4Kids</v>
      </c>
    </row>
    <row r="48" spans="1:8" x14ac:dyDescent="0.2">
      <c r="A48">
        <f t="shared" si="3"/>
        <v>47</v>
      </c>
      <c r="B48" s="8">
        <v>45632</v>
      </c>
      <c r="C48" s="7" t="s">
        <v>19</v>
      </c>
      <c r="D48" s="2">
        <v>4244</v>
      </c>
      <c r="E48" s="2">
        <f t="shared" si="2"/>
        <v>0</v>
      </c>
      <c r="F48" s="3">
        <v>1000</v>
      </c>
      <c r="G48" s="9">
        <v>260</v>
      </c>
      <c r="H48" s="6" t="str">
        <f>VLOOKUP(G48,[1]Resources!$A$2:$B$84,2,FALSE)</f>
        <v>MEND</v>
      </c>
    </row>
    <row r="49" spans="1:8" x14ac:dyDescent="0.2">
      <c r="A49">
        <f t="shared" si="3"/>
        <v>48</v>
      </c>
      <c r="B49" s="8">
        <v>45632</v>
      </c>
      <c r="C49" s="7" t="s">
        <v>25</v>
      </c>
      <c r="D49" s="2">
        <v>4246</v>
      </c>
      <c r="E49" s="2">
        <f t="shared" si="2"/>
        <v>0</v>
      </c>
      <c r="F49" s="3">
        <v>96.12</v>
      </c>
      <c r="G49" s="9">
        <v>270</v>
      </c>
      <c r="H49" s="6" t="str">
        <f>VLOOKUP(G49,[1]Resources!$A$2:$B$84,2,FALSE)</f>
        <v>MiscCommunitySupport</v>
      </c>
    </row>
    <row r="50" spans="1:8" x14ac:dyDescent="0.2">
      <c r="A50">
        <f t="shared" si="3"/>
        <v>49</v>
      </c>
      <c r="B50" s="8">
        <v>45635</v>
      </c>
      <c r="C50" s="7" t="s">
        <v>26</v>
      </c>
      <c r="D50" s="2" t="s">
        <v>12</v>
      </c>
      <c r="E50" s="2">
        <f t="shared" si="2"/>
        <v>1</v>
      </c>
      <c r="F50" s="3">
        <v>200</v>
      </c>
      <c r="G50" s="9">
        <v>275</v>
      </c>
      <c r="H50" s="6" t="str">
        <f>VLOOKUP(G50,[1]Resources!$A$2:$B$84,2,FALSE)</f>
        <v>MiscCommunitySupport_inc</v>
      </c>
    </row>
    <row r="51" spans="1:8" x14ac:dyDescent="0.2">
      <c r="A51">
        <f t="shared" si="3"/>
        <v>50</v>
      </c>
      <c r="B51" s="8">
        <v>45635</v>
      </c>
      <c r="C51" s="7" t="s">
        <v>21</v>
      </c>
      <c r="D51" s="2" t="s">
        <v>12</v>
      </c>
      <c r="E51" s="2">
        <f t="shared" si="2"/>
        <v>1</v>
      </c>
      <c r="F51" s="3">
        <v>140</v>
      </c>
      <c r="G51" s="9">
        <v>185</v>
      </c>
      <c r="H51" s="6" t="str">
        <f>VLOOKUP(G51,[1]Resources!$A$2:$B$84,2,FALSE)</f>
        <v>Donations_inc</v>
      </c>
    </row>
    <row r="52" spans="1:8" x14ac:dyDescent="0.2">
      <c r="A52">
        <f t="shared" si="3"/>
        <v>51</v>
      </c>
      <c r="B52" s="8">
        <v>45637</v>
      </c>
      <c r="C52" s="7" t="s">
        <v>25</v>
      </c>
      <c r="D52" s="2">
        <v>4247</v>
      </c>
      <c r="E52" s="2">
        <f t="shared" si="2"/>
        <v>0</v>
      </c>
      <c r="F52" s="3">
        <v>25.34</v>
      </c>
      <c r="G52" s="9">
        <v>310</v>
      </c>
      <c r="H52" s="6" t="str">
        <f>VLOOKUP(G52,[1]Resources!$A$2:$B$84,2,FALSE)</f>
        <v>SunshineCommittee</v>
      </c>
    </row>
    <row r="53" spans="1:8" x14ac:dyDescent="0.2">
      <c r="A53">
        <f t="shared" si="3"/>
        <v>52</v>
      </c>
      <c r="B53" s="8">
        <v>45657</v>
      </c>
      <c r="C53" s="7" t="s">
        <v>14</v>
      </c>
      <c r="D53" s="2" t="s">
        <v>12</v>
      </c>
      <c r="E53" s="2">
        <f t="shared" si="2"/>
        <v>1</v>
      </c>
      <c r="F53" s="3">
        <v>0.3</v>
      </c>
      <c r="G53" s="9">
        <v>235</v>
      </c>
      <c r="H53" s="6" t="str">
        <f>VLOOKUP(G53,[1]Resources!$A$2:$B$84,2,FALSE)</f>
        <v>InterestOnBankAccounts_inc</v>
      </c>
    </row>
    <row r="54" spans="1:8" x14ac:dyDescent="0.2">
      <c r="A54">
        <f t="shared" si="3"/>
        <v>53</v>
      </c>
      <c r="B54" s="8">
        <v>45666</v>
      </c>
      <c r="C54" s="7" t="s">
        <v>24</v>
      </c>
      <c r="D54" s="2" t="s">
        <v>12</v>
      </c>
      <c r="E54" s="2">
        <f t="shared" si="2"/>
        <v>1</v>
      </c>
      <c r="F54" s="3">
        <v>3000</v>
      </c>
      <c r="G54" s="9">
        <v>15</v>
      </c>
      <c r="H54" s="6" t="str">
        <f>VLOOKUP(G54,[1]Resources!$A$2:$B$84,2,FALSE)</f>
        <v>AmbassadorChristmas_inc</v>
      </c>
    </row>
    <row r="55" spans="1:8" x14ac:dyDescent="0.2">
      <c r="A55">
        <f t="shared" si="3"/>
        <v>54</v>
      </c>
      <c r="B55" s="8">
        <v>45666</v>
      </c>
      <c r="C55" s="7" t="s">
        <v>24</v>
      </c>
      <c r="D55" s="2" t="s">
        <v>12</v>
      </c>
      <c r="E55" s="2">
        <f t="shared" si="2"/>
        <v>1</v>
      </c>
      <c r="F55" s="3">
        <v>5400</v>
      </c>
      <c r="G55" s="9">
        <v>25</v>
      </c>
      <c r="H55" s="6" t="str">
        <f>VLOOKUP(G55,[1]Resources!$A$2:$B$84,2,FALSE)</f>
        <v>AmbassadorOctoberfest_inc</v>
      </c>
    </row>
    <row r="56" spans="1:8" x14ac:dyDescent="0.2">
      <c r="A56">
        <f t="shared" si="3"/>
        <v>55</v>
      </c>
      <c r="B56" s="8">
        <v>45670</v>
      </c>
      <c r="C56" s="7" t="s">
        <v>24</v>
      </c>
      <c r="D56" s="2" t="s">
        <v>23</v>
      </c>
      <c r="E56" s="2">
        <f t="shared" si="2"/>
        <v>0</v>
      </c>
      <c r="F56" s="3">
        <v>130</v>
      </c>
      <c r="G56" s="9">
        <v>130</v>
      </c>
      <c r="H56" s="6" t="str">
        <f>VLOOKUP(G56,[1]Resources!$A$2:$B$84,2,FALSE)</f>
        <v>ChamberCommerceDues</v>
      </c>
    </row>
    <row r="57" spans="1:8" x14ac:dyDescent="0.2">
      <c r="A57">
        <f t="shared" si="3"/>
        <v>56</v>
      </c>
      <c r="B57" s="8">
        <v>45666</v>
      </c>
      <c r="C57" s="7" t="s">
        <v>22</v>
      </c>
      <c r="D57" s="2" t="s">
        <v>12</v>
      </c>
      <c r="E57" s="2">
        <f t="shared" si="2"/>
        <v>1</v>
      </c>
      <c r="F57" s="3">
        <v>148</v>
      </c>
      <c r="G57" s="9">
        <v>185</v>
      </c>
      <c r="H57" s="6" t="str">
        <f>VLOOKUP(G57,[1]Resources!$A$2:$B$84,2,FALSE)</f>
        <v>Donations_inc</v>
      </c>
    </row>
    <row r="58" spans="1:8" x14ac:dyDescent="0.2">
      <c r="A58">
        <f t="shared" si="3"/>
        <v>57</v>
      </c>
      <c r="B58" s="8">
        <v>45678</v>
      </c>
      <c r="C58" s="7" t="s">
        <v>21</v>
      </c>
      <c r="D58" s="2" t="s">
        <v>12</v>
      </c>
      <c r="E58" s="2">
        <f t="shared" si="2"/>
        <v>1</v>
      </c>
      <c r="F58" s="3">
        <v>394</v>
      </c>
      <c r="G58" s="9">
        <v>185</v>
      </c>
      <c r="H58" s="6" t="str">
        <f>VLOOKUP(G58,[1]Resources!$A$2:$B$84,2,FALSE)</f>
        <v>Donations_inc</v>
      </c>
    </row>
    <row r="59" spans="1:8" x14ac:dyDescent="0.2">
      <c r="A59">
        <f t="shared" si="3"/>
        <v>58</v>
      </c>
      <c r="B59" s="8">
        <v>45679</v>
      </c>
      <c r="C59" s="7" t="s">
        <v>20</v>
      </c>
      <c r="D59" s="2">
        <v>4251</v>
      </c>
      <c r="E59" s="2">
        <f t="shared" si="2"/>
        <v>0</v>
      </c>
      <c r="F59" s="3">
        <v>295</v>
      </c>
      <c r="G59" s="9">
        <v>210</v>
      </c>
      <c r="H59" s="6" t="str">
        <f>VLOOKUP(G59,[1]Resources!$A$2:$B$84,2,FALSE)</f>
        <v>Health Permit</v>
      </c>
    </row>
    <row r="60" spans="1:8" x14ac:dyDescent="0.2">
      <c r="A60">
        <f t="shared" si="3"/>
        <v>59</v>
      </c>
      <c r="B60" s="8">
        <v>45679</v>
      </c>
      <c r="C60" s="7" t="s">
        <v>10</v>
      </c>
      <c r="D60" s="2">
        <v>4253</v>
      </c>
      <c r="E60" s="2">
        <f t="shared" si="2"/>
        <v>0</v>
      </c>
      <c r="F60" s="3">
        <v>800</v>
      </c>
      <c r="G60" s="9">
        <v>140</v>
      </c>
      <c r="H60" s="6" t="str">
        <f>VLOOKUP(G60,[1]Resources!$A$2:$B$84,2,FALSE)</f>
        <v>ChestnutScoring</v>
      </c>
    </row>
    <row r="61" spans="1:8" x14ac:dyDescent="0.2">
      <c r="A61">
        <f t="shared" si="3"/>
        <v>60</v>
      </c>
      <c r="B61" s="8">
        <v>45678</v>
      </c>
      <c r="C61" s="7" t="s">
        <v>11</v>
      </c>
      <c r="D61" s="2">
        <v>4252</v>
      </c>
      <c r="E61" s="2">
        <f t="shared" si="2"/>
        <v>0</v>
      </c>
      <c r="F61" s="3">
        <v>200</v>
      </c>
      <c r="G61" s="9">
        <v>140</v>
      </c>
      <c r="H61" s="6" t="str">
        <f>VLOOKUP(G61,[1]Resources!$A$2:$B$84,2,FALSE)</f>
        <v>ChestnutScoring</v>
      </c>
    </row>
    <row r="62" spans="1:8" x14ac:dyDescent="0.2">
      <c r="A62">
        <f t="shared" si="3"/>
        <v>61</v>
      </c>
      <c r="B62" s="8">
        <v>45680</v>
      </c>
      <c r="C62" s="7" t="s">
        <v>19</v>
      </c>
      <c r="D62" s="2">
        <v>4249</v>
      </c>
      <c r="E62" s="2">
        <f t="shared" si="2"/>
        <v>0</v>
      </c>
      <c r="F62" s="3">
        <v>500</v>
      </c>
      <c r="G62" s="9">
        <v>260</v>
      </c>
      <c r="H62" s="6" t="str">
        <f>VLOOKUP(G62,[1]Resources!$A$2:$B$84,2,FALSE)</f>
        <v>MEND</v>
      </c>
    </row>
    <row r="63" spans="1:8" x14ac:dyDescent="0.2">
      <c r="A63">
        <f t="shared" si="3"/>
        <v>62</v>
      </c>
      <c r="B63" s="8">
        <v>45681</v>
      </c>
      <c r="C63" s="7" t="s">
        <v>18</v>
      </c>
      <c r="D63" s="2">
        <v>4248</v>
      </c>
      <c r="E63" s="2">
        <f t="shared" si="2"/>
        <v>0</v>
      </c>
      <c r="F63" s="3">
        <v>39</v>
      </c>
      <c r="G63" s="9">
        <v>200</v>
      </c>
      <c r="H63" s="6" t="str">
        <f>VLOOKUP(G63,[1]Resources!$A$2:$B$84,2,FALSE)</f>
        <v>EyeGlasses &amp; HearingAids</v>
      </c>
    </row>
    <row r="64" spans="1:8" x14ac:dyDescent="0.2">
      <c r="A64">
        <f t="shared" si="3"/>
        <v>63</v>
      </c>
      <c r="B64" s="8">
        <v>45684</v>
      </c>
      <c r="C64" s="7" t="s">
        <v>17</v>
      </c>
      <c r="D64" s="2">
        <v>4254</v>
      </c>
      <c r="E64" s="2">
        <f t="shared" si="2"/>
        <v>0</v>
      </c>
      <c r="F64" s="3">
        <v>1000</v>
      </c>
      <c r="G64" s="9">
        <v>240</v>
      </c>
      <c r="H64" s="6" t="str">
        <f>VLOOKUP(G64,[1]Resources!$A$2:$B$84,2,FALSE)</f>
        <v>LCIF</v>
      </c>
    </row>
    <row r="65" spans="1:8" x14ac:dyDescent="0.2">
      <c r="A65">
        <f t="shared" si="3"/>
        <v>64</v>
      </c>
      <c r="B65" s="8">
        <v>45688</v>
      </c>
      <c r="C65" s="7" t="s">
        <v>16</v>
      </c>
      <c r="D65" s="2">
        <v>4255</v>
      </c>
      <c r="E65" s="2">
        <f t="shared" si="2"/>
        <v>0</v>
      </c>
      <c r="F65" s="3">
        <v>255</v>
      </c>
      <c r="G65" s="9">
        <v>290</v>
      </c>
      <c r="H65" s="6" t="str">
        <f>VLOOKUP(G65,[1]Resources!$A$2:$B$84,2,FALSE)</f>
        <v>PublicRelations</v>
      </c>
    </row>
    <row r="66" spans="1:8" x14ac:dyDescent="0.2">
      <c r="A66">
        <f t="shared" si="3"/>
        <v>65</v>
      </c>
      <c r="B66" s="8">
        <v>45686</v>
      </c>
      <c r="C66" s="7" t="s">
        <v>15</v>
      </c>
      <c r="D66" s="2">
        <v>4250</v>
      </c>
      <c r="E66" s="2">
        <f t="shared" ref="E66:E83" si="4">IF(D66=$J$1, 1, 0)</f>
        <v>0</v>
      </c>
      <c r="F66" s="3">
        <v>119.8</v>
      </c>
      <c r="G66" s="9">
        <v>270</v>
      </c>
      <c r="H66" s="6" t="str">
        <f>VLOOKUP(G66,[1]Resources!$A$2:$B$84,2,FALSE)</f>
        <v>MiscCommunitySupport</v>
      </c>
    </row>
    <row r="67" spans="1:8" x14ac:dyDescent="0.2">
      <c r="A67">
        <f t="shared" ref="A67:A85" si="5">A66+1</f>
        <v>66</v>
      </c>
      <c r="B67" s="8">
        <v>45690</v>
      </c>
      <c r="C67" s="7" t="s">
        <v>14</v>
      </c>
      <c r="D67" s="2" t="s">
        <v>12</v>
      </c>
      <c r="E67" s="2">
        <f t="shared" si="4"/>
        <v>1</v>
      </c>
      <c r="F67" s="3">
        <v>0.38</v>
      </c>
      <c r="G67" s="9">
        <v>235</v>
      </c>
      <c r="H67" s="6" t="str">
        <f>VLOOKUP(G67,[1]Resources!$A$2:$B$84,2,FALSE)</f>
        <v>InterestOnBankAccounts_inc</v>
      </c>
    </row>
    <row r="68" spans="1:8" x14ac:dyDescent="0.2">
      <c r="A68">
        <f t="shared" si="5"/>
        <v>67</v>
      </c>
      <c r="B68" s="8">
        <v>45695</v>
      </c>
      <c r="C68" s="7" t="s">
        <v>13</v>
      </c>
      <c r="D68" s="2" t="s">
        <v>12</v>
      </c>
      <c r="E68" s="2">
        <f t="shared" si="4"/>
        <v>1</v>
      </c>
      <c r="F68" s="3">
        <v>3000</v>
      </c>
      <c r="G68" s="9">
        <v>145</v>
      </c>
      <c r="H68" s="6" t="str">
        <f>VLOOKUP(G68,[1]Resources!$A$2:$B$84,2,FALSE)</f>
        <v>ChestnutScoring_inc</v>
      </c>
    </row>
    <row r="69" spans="1:8" x14ac:dyDescent="0.2">
      <c r="A69">
        <f t="shared" si="5"/>
        <v>68</v>
      </c>
      <c r="B69" s="8">
        <v>45695</v>
      </c>
      <c r="C69" s="7" t="s">
        <v>11</v>
      </c>
      <c r="D69" s="2">
        <v>4256</v>
      </c>
      <c r="E69" s="2">
        <f t="shared" si="4"/>
        <v>0</v>
      </c>
      <c r="F69" s="3">
        <v>100</v>
      </c>
      <c r="G69" s="9">
        <v>140</v>
      </c>
      <c r="H69" s="6" t="str">
        <f>VLOOKUP(G69,[1]Resources!$A$2:$B$84,2,FALSE)</f>
        <v>ChestnutScoring</v>
      </c>
    </row>
    <row r="70" spans="1:8" x14ac:dyDescent="0.2">
      <c r="A70">
        <f t="shared" si="5"/>
        <v>69</v>
      </c>
      <c r="B70" s="8">
        <v>45695</v>
      </c>
      <c r="C70" s="7" t="s">
        <v>10</v>
      </c>
      <c r="D70" s="2">
        <v>4257</v>
      </c>
      <c r="E70" s="2">
        <f t="shared" si="4"/>
        <v>0</v>
      </c>
      <c r="F70" s="3">
        <v>400</v>
      </c>
      <c r="G70" s="9">
        <v>140</v>
      </c>
      <c r="H70" s="6" t="str">
        <f>VLOOKUP(G70,[1]Resources!$A$2:$B$84,2,FALSE)</f>
        <v>ChestnutScoring</v>
      </c>
    </row>
    <row r="71" spans="1:8" x14ac:dyDescent="0.2">
      <c r="A71">
        <f t="shared" si="5"/>
        <v>70</v>
      </c>
      <c r="B71" s="8">
        <v>45695</v>
      </c>
      <c r="C71" s="7" t="s">
        <v>9</v>
      </c>
      <c r="D71" s="2">
        <v>4259</v>
      </c>
      <c r="E71" s="2">
        <f t="shared" si="4"/>
        <v>0</v>
      </c>
      <c r="F71" s="3">
        <v>1500</v>
      </c>
      <c r="G71" s="9">
        <v>90</v>
      </c>
      <c r="H71" s="6" t="str">
        <f>VLOOKUP(G71,[1]Resources!$A$2:$B$84,2,FALSE)</f>
        <v>CampStix</v>
      </c>
    </row>
    <row r="72" spans="1:8" x14ac:dyDescent="0.2">
      <c r="A72">
        <f t="shared" si="5"/>
        <v>71</v>
      </c>
      <c r="B72" s="8">
        <v>45699</v>
      </c>
      <c r="C72" s="7" t="s">
        <v>8</v>
      </c>
      <c r="D72" s="2">
        <v>4258</v>
      </c>
      <c r="E72" s="2">
        <f t="shared" si="4"/>
        <v>0</v>
      </c>
      <c r="F72" s="3">
        <v>500</v>
      </c>
      <c r="G72" s="9">
        <v>350</v>
      </c>
      <c r="H72" s="6" t="str">
        <f>VLOOKUP(G72,[1]Resources!$A$2:$B$84,2,FALSE)</f>
        <v>YouthSports</v>
      </c>
    </row>
    <row r="73" spans="1:8" x14ac:dyDescent="0.2">
      <c r="A73">
        <f t="shared" si="5"/>
        <v>72</v>
      </c>
      <c r="B73" s="8">
        <v>45709</v>
      </c>
      <c r="C73" s="7" t="s">
        <v>7</v>
      </c>
      <c r="D73" s="2">
        <v>4260</v>
      </c>
      <c r="E73" s="2">
        <f t="shared" si="4"/>
        <v>0</v>
      </c>
      <c r="F73" s="3">
        <v>338.94</v>
      </c>
      <c r="G73" s="9">
        <v>270</v>
      </c>
      <c r="H73" s="6" t="str">
        <f>VLOOKUP(G73,[1]Resources!$A$2:$B$84,2,FALSE)</f>
        <v>MiscCommunitySupport</v>
      </c>
    </row>
    <row r="74" spans="1:8" x14ac:dyDescent="0.2">
      <c r="A74">
        <f t="shared" si="5"/>
        <v>73</v>
      </c>
      <c r="B74" s="8">
        <v>45709</v>
      </c>
      <c r="C74" s="7" t="s">
        <v>6</v>
      </c>
      <c r="D74" s="4">
        <v>4261</v>
      </c>
      <c r="E74" s="2">
        <f t="shared" si="4"/>
        <v>0</v>
      </c>
      <c r="F74" s="3">
        <v>250</v>
      </c>
      <c r="G74" s="2">
        <v>270</v>
      </c>
      <c r="H74" s="6" t="str">
        <f>VLOOKUP(G74,[1]Resources!$A$2:$B$84,2,FALSE)</f>
        <v>MiscCommunitySupport</v>
      </c>
    </row>
    <row r="75" spans="1:8" x14ac:dyDescent="0.2">
      <c r="A75">
        <f t="shared" si="5"/>
        <v>74</v>
      </c>
      <c r="B75" s="8">
        <v>45709</v>
      </c>
      <c r="C75" s="7" t="s">
        <v>5</v>
      </c>
      <c r="D75" s="4">
        <v>4262</v>
      </c>
      <c r="E75" s="2">
        <f t="shared" si="4"/>
        <v>0</v>
      </c>
      <c r="F75" s="3">
        <v>68.42</v>
      </c>
      <c r="G75" s="2">
        <v>290</v>
      </c>
      <c r="H75" s="6" t="str">
        <f>VLOOKUP(G75,[1]Resources!$A$2:$B$84,2,FALSE)</f>
        <v>PublicRelations</v>
      </c>
    </row>
    <row r="76" spans="1:8" x14ac:dyDescent="0.2">
      <c r="A76">
        <f t="shared" si="5"/>
        <v>75</v>
      </c>
      <c r="B76" s="8">
        <v>45714</v>
      </c>
      <c r="C76" s="7" t="s">
        <v>4</v>
      </c>
      <c r="D76" s="4">
        <v>4263</v>
      </c>
      <c r="E76" s="2">
        <f t="shared" si="4"/>
        <v>0</v>
      </c>
      <c r="F76" s="3">
        <v>200</v>
      </c>
      <c r="G76" s="2">
        <v>250</v>
      </c>
      <c r="H76" s="6" t="str">
        <f>VLOOKUP(G76,[1]Resources!$A$2:$B$84,2,FALSE)</f>
        <v>LeavenworthActivityFee</v>
      </c>
    </row>
    <row r="77" spans="1:8" x14ac:dyDescent="0.2">
      <c r="A77">
        <f t="shared" si="5"/>
        <v>76</v>
      </c>
      <c r="B77" s="8">
        <v>45724</v>
      </c>
      <c r="C77" s="7" t="s">
        <v>3</v>
      </c>
      <c r="D77" s="4">
        <v>4264</v>
      </c>
      <c r="E77" s="2">
        <f t="shared" si="4"/>
        <v>0</v>
      </c>
      <c r="F77" s="3">
        <v>1500</v>
      </c>
      <c r="G77" s="2">
        <v>40</v>
      </c>
      <c r="H77" s="6" t="str">
        <f>VLOOKUP(G77,[1]Resources!$A$2:$B$84,2,FALSE)</f>
        <v>BackPackProgram</v>
      </c>
    </row>
    <row r="78" spans="1:8" x14ac:dyDescent="0.2">
      <c r="A78">
        <f t="shared" si="5"/>
        <v>77</v>
      </c>
      <c r="B78" s="8">
        <v>45731</v>
      </c>
      <c r="C78" s="7" t="s">
        <v>2</v>
      </c>
      <c r="D78" s="4">
        <v>4265</v>
      </c>
      <c r="E78" s="2">
        <f t="shared" si="4"/>
        <v>0</v>
      </c>
      <c r="F78" s="3">
        <v>1100</v>
      </c>
      <c r="G78" s="2">
        <v>120</v>
      </c>
      <c r="H78" s="6" t="str">
        <f>VLOOKUP(G78,[1]Resources!$A$2:$B$84,2,FALSE)</f>
        <v>CasscadeMedicalFoundation</v>
      </c>
    </row>
    <row r="79" spans="1:8" x14ac:dyDescent="0.2">
      <c r="A79">
        <f t="shared" si="5"/>
        <v>78</v>
      </c>
      <c r="B79" s="8">
        <v>45752</v>
      </c>
      <c r="C79" s="7" t="s">
        <v>1</v>
      </c>
      <c r="D79" s="4">
        <v>4266</v>
      </c>
      <c r="E79" s="4">
        <f t="shared" si="4"/>
        <v>0</v>
      </c>
      <c r="F79" s="3">
        <v>500</v>
      </c>
      <c r="G79" s="2">
        <v>110</v>
      </c>
      <c r="H79" s="6" t="str">
        <f>VLOOKUP(G79,[1]Resources!$A$2:$B$84,2,FALSE)</f>
        <v>CAREMD19</v>
      </c>
    </row>
    <row r="80" spans="1:8" x14ac:dyDescent="0.2">
      <c r="A80">
        <f t="shared" si="5"/>
        <v>79</v>
      </c>
      <c r="B80" s="8">
        <v>45752</v>
      </c>
      <c r="C80" s="7" t="s">
        <v>0</v>
      </c>
      <c r="D80" s="4">
        <v>4267</v>
      </c>
      <c r="E80" s="4">
        <f t="shared" si="4"/>
        <v>0</v>
      </c>
      <c r="F80" s="3">
        <v>119.29</v>
      </c>
      <c r="G80" s="2">
        <v>190</v>
      </c>
      <c r="H80" s="6" t="str">
        <f>VLOOKUP(G80,[1]Resources!$A$2:$B$84,2,FALSE)</f>
        <v>EasterEggHunt</v>
      </c>
    </row>
    <row r="81" spans="1:8" x14ac:dyDescent="0.2">
      <c r="A81">
        <f t="shared" si="5"/>
        <v>80</v>
      </c>
      <c r="B81" s="8">
        <v>45763</v>
      </c>
      <c r="C81" s="7" t="s">
        <v>37</v>
      </c>
      <c r="D81" s="4">
        <v>4268</v>
      </c>
      <c r="E81" s="4">
        <f t="shared" si="4"/>
        <v>0</v>
      </c>
      <c r="F81" s="3">
        <v>126.94</v>
      </c>
      <c r="G81" s="2">
        <v>70</v>
      </c>
      <c r="H81" s="6" t="str">
        <f>VLOOKUP(G81,[1]Resources!$A$2:$B$84,2,FALSE)</f>
        <v>Breakfast May-June 2025</v>
      </c>
    </row>
    <row r="82" spans="1:8" x14ac:dyDescent="0.2">
      <c r="A82">
        <f t="shared" si="5"/>
        <v>81</v>
      </c>
      <c r="B82" s="8">
        <v>45764</v>
      </c>
      <c r="C82" s="7" t="s">
        <v>19</v>
      </c>
      <c r="D82" s="4">
        <v>4269</v>
      </c>
      <c r="E82" s="4">
        <f t="shared" si="4"/>
        <v>0</v>
      </c>
      <c r="F82" s="3">
        <v>200</v>
      </c>
      <c r="G82" s="2">
        <v>260</v>
      </c>
      <c r="H82" s="6" t="str">
        <f>VLOOKUP(G82,[1]Resources!$A$2:$B$84,2,FALSE)</f>
        <v>MEND</v>
      </c>
    </row>
    <row r="83" spans="1:8" x14ac:dyDescent="0.2">
      <c r="A83">
        <f t="shared" si="5"/>
        <v>82</v>
      </c>
      <c r="B83" s="8">
        <v>45765</v>
      </c>
      <c r="C83" s="7" t="s">
        <v>55</v>
      </c>
      <c r="D83" s="4" t="s">
        <v>56</v>
      </c>
      <c r="E83" s="4">
        <f t="shared" si="4"/>
        <v>0</v>
      </c>
      <c r="F83" s="3">
        <v>60</v>
      </c>
      <c r="G83" s="2">
        <v>190</v>
      </c>
      <c r="H83" s="6" t="str">
        <f>VLOOKUP(G83,[1]Resources!$A$2:$B$84,2,FALSE)</f>
        <v>EasterEggHunt</v>
      </c>
    </row>
    <row r="84" spans="1:8" x14ac:dyDescent="0.2">
      <c r="A84">
        <f t="shared" si="5"/>
        <v>83</v>
      </c>
      <c r="B84" s="8">
        <v>45769</v>
      </c>
      <c r="C84" s="7" t="s">
        <v>7</v>
      </c>
      <c r="D84" s="4" t="s">
        <v>12</v>
      </c>
      <c r="E84" s="2">
        <f>IF(D84=$J$1,0,1)</f>
        <v>0</v>
      </c>
      <c r="F84" s="3">
        <v>22.25</v>
      </c>
      <c r="G84" s="2">
        <v>195</v>
      </c>
      <c r="H84" s="6" t="str">
        <f>VLOOKUP(G84,[1]Resources!$A$2:$B$84,2,FALSE)</f>
        <v>EasterEggHunt_inc</v>
      </c>
    </row>
    <row r="85" spans="1:8" x14ac:dyDescent="0.2">
      <c r="A85">
        <f t="shared" si="5"/>
        <v>84</v>
      </c>
      <c r="B85" s="8">
        <v>45769</v>
      </c>
      <c r="C85" s="7" t="s">
        <v>7</v>
      </c>
      <c r="D85" s="4" t="s">
        <v>12</v>
      </c>
      <c r="E85" s="2">
        <f>IF(D85=$J$1,0,1)</f>
        <v>0</v>
      </c>
      <c r="F85" s="3">
        <v>21</v>
      </c>
      <c r="G85" s="2">
        <v>185</v>
      </c>
      <c r="H85" s="6" t="str">
        <f>VLOOKUP(G85,[1]Resources!$A$2:$B$84,2,FALSE)</f>
        <v>Donations_inc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Nelson</dc:creator>
  <cp:lastModifiedBy>Dan Nelson</cp:lastModifiedBy>
  <dcterms:created xsi:type="dcterms:W3CDTF">2025-04-14T00:07:55Z</dcterms:created>
  <dcterms:modified xsi:type="dcterms:W3CDTF">2025-04-23T05:48:52Z</dcterms:modified>
</cp:coreProperties>
</file>